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b267bda36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Tổng quan" sheetId="1" r:id="Rfed0c82e53884f8a"/>
    <x:sheet xmlns:r="http://schemas.openxmlformats.org/officeDocument/2006/relationships" name="02 Lộ trình 39 tuần" sheetId="2" r:id="R5cf4fa341c154d89"/>
    <x:sheet xmlns:r="http://schemas.openxmlformats.org/officeDocument/2006/relationships" name="03 Kế hoạch tuần" sheetId="3" r:id="Rf73a6cf1f0c14a6e"/>
    <x:sheet xmlns:r="http://schemas.openxmlformats.org/officeDocument/2006/relationships" name="04 Checklist tuần" sheetId="4" r:id="R2cb29ae43d9e44e1"/>
    <x:sheet xmlns:r="http://schemas.openxmlformats.org/officeDocument/2006/relationships" name="05 Dự án ngân hàng" sheetId="5" r:id="Rd6b2ca65e9484f71"/>
    <x:sheet xmlns:r="http://schemas.openxmlformats.org/officeDocument/2006/relationships" name="06 Dự án đầu tư" sheetId="6" r:id="R457c509299fa46a5"/>
    <x:sheet xmlns:r="http://schemas.openxmlformats.org/officeDocument/2006/relationships" name="07 Phỏng vấn" sheetId="7" r:id="Rb161dbdb89624032"/>
    <x:sheet xmlns:r="http://schemas.openxmlformats.org/officeDocument/2006/relationships" name="08 Tài liệu" sheetId="8" r:id="Ra1fb201104784669"/>
    <x:sheet xmlns:r="http://schemas.openxmlformats.org/officeDocument/2006/relationships" name="09 Nhật ký" sheetId="9" r:id="R91fadf885673463c"/>
    <x:sheet xmlns:r="http://schemas.openxmlformats.org/officeDocument/2006/relationships" name="10 Học chi tiết" sheetId="10" r:id="R0b61b0257e54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#,##0.0"/>
    <x:numFmt numFmtId="203" formatCode="0%"/>
    <x:numFmt numFmtId="204" formatCode="0"/>
    <x:numFmt numFmtId="205" formatCode="0.0"/>
    <x:numFmt numFmtId="206" formatCode="0.00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472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11"/>
      <x:color rgb="FF0B1F3A"/>
      <x:name val="Carlito"/>
    </x:font>
    <x:font>
      <x:b/>
      <x:sz val="20"/>
      <x:color rgb="FF2563EB"/>
      <x:name val="Carlito"/>
    </x:font>
    <x:font>
      <x:b/>
      <x:sz val="18"/>
      <x:color rgb="FFFFFFFF"/>
      <x:name val="Aptos"/>
    </x:font>
    <x:font>
      <x:i/>
      <x:sz val="10"/>
      <x:color rgb="FF5B6472"/>
      <x:name val="Aptos"/>
    </x:font>
    <x:font>
      <x:b/>
      <x:sz val="10"/>
      <x:color rgb="FFFFFFFF"/>
      <x:name val="Aptos"/>
    </x:font>
    <x:font>
      <x:sz val="11"/>
      <x:name val="Aptos"/>
    </x:font>
    <x:font>
      <x:sz val="10"/>
      <x:color rgb="FF172033"/>
      <x:name val="Aptos"/>
    </x:font>
    <x:font>
      <x:b/>
      <x:sz val="11"/>
      <x:color rgb="FF0B1F3A"/>
      <x:name val="Aptos"/>
    </x:font>
    <x:font>
      <x:b/>
      <x:sz val="20"/>
      <x:color rgb="FF2563EB"/>
      <x:name val="Aptos"/>
    </x:font>
    <x:font>
      <x:b/>
      <x:sz val="18"/>
      <x:color rgb="FF172033"/>
      <x:name val="Aptos"/>
    </x:font>
    <x:font>
      <x:i/>
      <x:sz val="10"/>
      <x:color rgb="FF172033"/>
      <x:name val="Aptos"/>
    </x:font>
    <x:font>
      <x:b/>
      <x:sz val="10"/>
      <x:color rgb="FF172033"/>
      <x:name val="Aptos"/>
    </x:font>
    <x:font>
      <x:sz val="11"/>
      <x:color rgb="FF172033"/>
      <x:name val="Aptos"/>
    </x:font>
    <x:font>
      <x:b/>
      <x:sz val="11"/>
      <x:color rgb="FF172033"/>
      <x:name val="Aptos"/>
    </x:font>
    <x:font>
      <x:b/>
      <x:sz val="20"/>
      <x:color rgb="FF172033"/>
      <x:name val="Aptos"/>
    </x:font>
    <x:font>
      <x:b/>
      <x:sz val="18"/>
      <x:color rgb="FFFFFFFF"/>
      <x:name val="Aptos Display"/>
    </x:font>
    <x:font>
      <x:b/>
      <x:sz val="12"/>
      <x:color rgb="FFFFFFFF"/>
      <x:name val="Aptos"/>
    </x:font>
  </x:fonts>
  <x:fills count="3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7E6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2563EB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E8F7F4"/>
      </x:patternFill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2563EB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E8F7F4"/>
      </x:patternFill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2563EB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E8F7F4"/>
      </x:patternFill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2563EB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E8F7F4"/>
      </x:patternFill>
    </x:fill>
  </x:fills>
  <x:borders count="13">
    <x:border/>
    <x:border>
      <x:left style="thin">
        <x:color rgb="FF0B1F3A"/>
      </x:left>
      <x:top style="thin">
        <x:color rgb="FF0B1F3A"/>
      </x:top>
      <x:bottom style="thin">
        <x:color rgb="FF0B1F3A"/>
      </x:bottom>
    </x:border>
    <x:border>
      <x:right style="thin">
        <x:color rgb="FF0B1F3A"/>
      </x:right>
      <x:top style="thin">
        <x:color rgb="FF0B1F3A"/>
      </x:top>
      <x:bottom style="thin">
        <x:color rgb="FF0B1F3A"/>
      </x:bottom>
    </x:border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top style="thin">
        <x:color rgb="FF0B1F3A"/>
      </x:top>
      <x:bottom style="thin">
        <x:color rgb="FF0B1F3A"/>
      </x:bottom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</x:borders>
  <x:cellStyleXfs count="1">
    <x:xf numFmtId="0" fontId="0" fillId="0" borderId="0"/>
  </x:cellStyleXfs>
  <x:cellXfs count="4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3" xfId="0" applyNumberFormat="1" applyFont="1" applyFill="1" applyBorder="1"/>
    <x:xf numFmtId="0" fontId="6" fillId="6" borderId="12" xfId="0" applyNumberFormat="1" applyFont="1" applyFill="1" applyBorder="1"/>
    <x:xf numFmtId="201" fontId="6" fillId="6" borderId="6" xfId="0" applyNumberFormat="1" applyFont="1" applyFill="1" applyBorder="1"/>
    <x:xf numFmtId="201" fontId="6" fillId="6" borderId="7" xfId="0" applyNumberFormat="1" applyFont="1" applyFill="1" applyBorder="1"/>
    <x:xf numFmtId="201" fontId="6" fillId="6" borderId="8" xfId="0" applyNumberFormat="1" applyFont="1" applyFill="1" applyBorder="1"/>
    <x:xf numFmtId="201" fontId="6" fillId="6" borderId="9" xfId="0" applyNumberFormat="1" applyFont="1" applyFill="1" applyBorder="1"/>
    <x:xf numFmtId="201" fontId="6" fillId="6" borderId="0" xfId="0" applyNumberFormat="1" applyFont="1" applyFill="1" applyBorder="1"/>
    <x:xf numFmtId="201" fontId="6" fillId="6" borderId="10" xfId="0" applyNumberFormat="1" applyFont="1" applyFill="1" applyBorder="1"/>
    <x:xf numFmtId="201" fontId="6" fillId="6" borderId="11" xfId="0" applyNumberFormat="1" applyFont="1" applyFill="1" applyBorder="1"/>
    <x:xf numFmtId="201" fontId="6" fillId="6" borderId="3" xfId="0" applyNumberFormat="1" applyFont="1" applyFill="1" applyBorder="1"/>
    <x:xf numFmtId="201" fontId="6" fillId="6" borderId="12" xfId="0" applyNumberFormat="1" applyFont="1" applyFill="1" applyBorder="1"/>
    <x:xf numFmtId="201" fontId="6" fillId="6" borderId="6" xfId="0" applyNumberFormat="1" applyFont="1" applyFill="1" applyBorder="1" applyAlignment="1">
      <x:alignment horizontal="center"/>
    </x:xf>
    <x:xf numFmtId="201" fontId="6" fillId="6" borderId="7" xfId="0" applyNumberFormat="1" applyFont="1" applyFill="1" applyBorder="1" applyAlignment="1">
      <x:alignment horizontal="center"/>
    </x:xf>
    <x:xf numFmtId="201" fontId="6" fillId="6" borderId="8" xfId="0" applyNumberFormat="1" applyFont="1" applyFill="1" applyBorder="1" applyAlignment="1">
      <x:alignment horizontal="center"/>
    </x:xf>
    <x:xf numFmtId="201" fontId="6" fillId="6" borderId="9" xfId="0" applyNumberFormat="1" applyFont="1" applyFill="1" applyBorder="1" applyAlignment="1">
      <x:alignment horizontal="center"/>
    </x:xf>
    <x:xf numFmtId="201" fontId="6" fillId="6" borderId="0" xfId="0" applyNumberFormat="1" applyFont="1" applyFill="1" applyBorder="1" applyAlignment="1">
      <x:alignment horizontal="center"/>
    </x:xf>
    <x:xf numFmtId="201" fontId="6" fillId="6" borderId="10" xfId="0" applyNumberFormat="1" applyFont="1" applyFill="1" applyBorder="1" applyAlignment="1">
      <x:alignment horizontal="center"/>
    </x:xf>
    <x:xf numFmtId="201" fontId="6" fillId="6" borderId="11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/>
    </x:xf>
    <x:xf numFmtId="201" fontId="6" fillId="6" borderId="12" xfId="0" applyNumberFormat="1" applyFont="1" applyFill="1" applyBorder="1" applyAlignment="1">
      <x:alignment horizontal="center"/>
    </x:xf>
    <x:xf numFmtId="201" fontId="6" fillId="6" borderId="6" xfId="0" applyNumberFormat="1" applyFont="1" applyFill="1" applyBorder="1" applyAlignment="1">
      <x:alignment horizontal="center" vertical="center"/>
    </x:xf>
    <x:xf numFmtId="201" fontId="6" fillId="6" borderId="7" xfId="0" applyNumberFormat="1" applyFont="1" applyFill="1" applyBorder="1" applyAlignment="1">
      <x:alignment horizontal="center" vertical="center"/>
    </x:xf>
    <x:xf numFmtId="201" fontId="6" fillId="6" borderId="8" xfId="0" applyNumberFormat="1" applyFont="1" applyFill="1" applyBorder="1" applyAlignment="1">
      <x:alignment horizontal="center" vertical="center"/>
    </x:xf>
    <x:xf numFmtId="201" fontId="6" fillId="6" borderId="9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201" fontId="6" fillId="6" borderId="10" xfId="0" applyNumberFormat="1" applyFont="1" applyFill="1" applyBorder="1" applyAlignment="1">
      <x:alignment horizontal="center" vertical="center"/>
    </x:xf>
    <x:xf numFmtId="201" fontId="6" fillId="6" borderId="11" xfId="0" applyNumberFormat="1" applyFont="1" applyFill="1" applyBorder="1" applyAlignment="1">
      <x:alignment horizontal="center" vertical="center"/>
    </x:xf>
    <x:xf numFmtId="201" fontId="6" fillId="6" borderId="3" xfId="0" applyNumberFormat="1" applyFont="1" applyFill="1" applyBorder="1" applyAlignment="1">
      <x:alignment horizontal="center" vertical="center"/>
    </x:xf>
    <x:xf numFmtId="201" fontId="6" fillId="6" borderId="12" xfId="0" applyNumberFormat="1" applyFont="1" applyFill="1" applyBorder="1" applyAlignment="1">
      <x:alignment horizontal="center" vertical="center"/>
    </x:xf>
    <x:xf numFmtId="202" fontId="6" fillId="6" borderId="6" xfId="0" applyNumberFormat="1" applyFont="1" applyFill="1" applyBorder="1"/>
    <x:xf numFmtId="202" fontId="6" fillId="6" borderId="7" xfId="0" applyNumberFormat="1" applyFont="1" applyFill="1" applyBorder="1"/>
    <x:xf numFmtId="202" fontId="6" fillId="6" borderId="8" xfId="0" applyNumberFormat="1" applyFont="1" applyFill="1" applyBorder="1"/>
    <x:xf numFmtId="202" fontId="6" fillId="6" borderId="9" xfId="0" applyNumberFormat="1" applyFont="1" applyFill="1" applyBorder="1"/>
    <x:xf numFmtId="202" fontId="6" fillId="6" borderId="0" xfId="0" applyNumberFormat="1" applyFont="1" applyFill="1" applyBorder="1"/>
    <x:xf numFmtId="202" fontId="6" fillId="6" borderId="10" xfId="0" applyNumberFormat="1" applyFont="1" applyFill="1" applyBorder="1"/>
    <x:xf numFmtId="202" fontId="6" fillId="6" borderId="11" xfId="0" applyNumberFormat="1" applyFont="1" applyFill="1" applyBorder="1"/>
    <x:xf numFmtId="202" fontId="6" fillId="6" borderId="3" xfId="0" applyNumberFormat="1" applyFont="1" applyFill="1" applyBorder="1"/>
    <x:xf numFmtId="202" fontId="6" fillId="6" borderId="12" xfId="0" applyNumberFormat="1" applyFont="1" applyFill="1" applyBorder="1"/>
    <x:xf numFmtId="202" fontId="6" fillId="6" borderId="6" xfId="0" applyNumberFormat="1" applyFont="1" applyFill="1" applyBorder="1" applyAlignment="1">
      <x:alignment horizontal="center"/>
    </x:xf>
    <x:xf numFmtId="202" fontId="6" fillId="6" borderId="7" xfId="0" applyNumberFormat="1" applyFont="1" applyFill="1" applyBorder="1" applyAlignment="1">
      <x:alignment horizontal="center"/>
    </x:xf>
    <x:xf numFmtId="202" fontId="6" fillId="6" borderId="8" xfId="0" applyNumberFormat="1" applyFont="1" applyFill="1" applyBorder="1" applyAlignment="1">
      <x:alignment horizontal="center"/>
    </x:xf>
    <x:xf numFmtId="202" fontId="6" fillId="6" borderId="9" xfId="0" applyNumberFormat="1" applyFont="1" applyFill="1" applyBorder="1" applyAlignment="1">
      <x:alignment horizontal="center"/>
    </x:xf>
    <x:xf numFmtId="202" fontId="6" fillId="6" borderId="0" xfId="0" applyNumberFormat="1" applyFont="1" applyFill="1" applyBorder="1" applyAlignment="1">
      <x:alignment horizontal="center"/>
    </x:xf>
    <x:xf numFmtId="202" fontId="6" fillId="6" borderId="10" xfId="0" applyNumberFormat="1" applyFont="1" applyFill="1" applyBorder="1" applyAlignment="1">
      <x:alignment horizontal="center"/>
    </x:xf>
    <x:xf numFmtId="202" fontId="6" fillId="6" borderId="11" xfId="0" applyNumberFormat="1" applyFont="1" applyFill="1" applyBorder="1" applyAlignment="1">
      <x:alignment horizontal="center"/>
    </x:xf>
    <x:xf numFmtId="202" fontId="6" fillId="6" borderId="3" xfId="0" applyNumberFormat="1" applyFont="1" applyFill="1" applyBorder="1" applyAlignment="1">
      <x:alignment horizontal="center"/>
    </x:xf>
    <x:xf numFmtId="202" fontId="6" fillId="6" borderId="12" xfId="0" applyNumberFormat="1" applyFont="1" applyFill="1" applyBorder="1" applyAlignment="1">
      <x:alignment horizontal="center"/>
    </x:xf>
    <x:xf numFmtId="202" fontId="6" fillId="6" borderId="6" xfId="0" applyNumberFormat="1" applyFont="1" applyFill="1" applyBorder="1" applyAlignment="1">
      <x:alignment horizontal="center" vertical="center"/>
    </x:xf>
    <x:xf numFmtId="202" fontId="6" fillId="6" borderId="7" xfId="0" applyNumberFormat="1" applyFont="1" applyFill="1" applyBorder="1" applyAlignment="1">
      <x:alignment horizontal="center" vertical="center"/>
    </x:xf>
    <x:xf numFmtId="202" fontId="6" fillId="6" borderId="8" xfId="0" applyNumberFormat="1" applyFont="1" applyFill="1" applyBorder="1" applyAlignment="1">
      <x:alignment horizontal="center" vertical="center"/>
    </x:xf>
    <x:xf numFmtId="202" fontId="6" fillId="6" borderId="9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202" fontId="6" fillId="6" borderId="10" xfId="0" applyNumberFormat="1" applyFont="1" applyFill="1" applyBorder="1" applyAlignment="1">
      <x:alignment horizontal="center" vertical="center"/>
    </x:xf>
    <x:xf numFmtId="202" fontId="6" fillId="6" borderId="11" xfId="0" applyNumberFormat="1" applyFont="1" applyFill="1" applyBorder="1" applyAlignment="1">
      <x:alignment horizontal="center" vertical="center"/>
    </x:xf>
    <x:xf numFmtId="202" fontId="6" fillId="6" borderId="3" xfId="0" applyNumberFormat="1" applyFont="1" applyFill="1" applyBorder="1" applyAlignment="1">
      <x:alignment horizontal="center" vertical="center"/>
    </x:xf>
    <x:xf numFmtId="202" fontId="6" fillId="6" borderId="12" xfId="0" applyNumberFormat="1" applyFont="1" applyFill="1" applyBorder="1" applyAlignment="1">
      <x:alignment horizontal="center" vertical="center"/>
    </x:xf>
    <x:xf numFmtId="203" fontId="6" fillId="6" borderId="6" xfId="0" applyNumberFormat="1" applyFont="1" applyFill="1" applyBorder="1"/>
    <x:xf numFmtId="203" fontId="6" fillId="6" borderId="7" xfId="0" applyNumberFormat="1" applyFont="1" applyFill="1" applyBorder="1"/>
    <x:xf numFmtId="203" fontId="6" fillId="6" borderId="8" xfId="0" applyNumberFormat="1" applyFont="1" applyFill="1" applyBorder="1"/>
    <x:xf numFmtId="203" fontId="6" fillId="6" borderId="9" xfId="0" applyNumberFormat="1" applyFont="1" applyFill="1" applyBorder="1"/>
    <x:xf numFmtId="203" fontId="6" fillId="6" borderId="0" xfId="0" applyNumberFormat="1" applyFont="1" applyFill="1" applyBorder="1"/>
    <x:xf numFmtId="203" fontId="6" fillId="6" borderId="10" xfId="0" applyNumberFormat="1" applyFont="1" applyFill="1" applyBorder="1"/>
    <x:xf numFmtId="203" fontId="6" fillId="6" borderId="11" xfId="0" applyNumberFormat="1" applyFont="1" applyFill="1" applyBorder="1"/>
    <x:xf numFmtId="203" fontId="6" fillId="6" borderId="3" xfId="0" applyNumberFormat="1" applyFont="1" applyFill="1" applyBorder="1"/>
    <x:xf numFmtId="203" fontId="6" fillId="6" borderId="12" xfId="0" applyNumberFormat="1" applyFont="1" applyFill="1" applyBorder="1"/>
    <x:xf numFmtId="203" fontId="6" fillId="6" borderId="6" xfId="0" applyNumberFormat="1" applyFont="1" applyFill="1" applyBorder="1" applyAlignment="1">
      <x:alignment horizontal="center"/>
    </x:xf>
    <x:xf numFmtId="203" fontId="6" fillId="6" borderId="7" xfId="0" applyNumberFormat="1" applyFont="1" applyFill="1" applyBorder="1" applyAlignment="1">
      <x:alignment horizontal="center"/>
    </x:xf>
    <x:xf numFmtId="203" fontId="6" fillId="6" borderId="8" xfId="0" applyNumberFormat="1" applyFont="1" applyFill="1" applyBorder="1" applyAlignment="1">
      <x:alignment horizontal="center"/>
    </x:xf>
    <x:xf numFmtId="203" fontId="6" fillId="6" borderId="9" xfId="0" applyNumberFormat="1" applyFont="1" applyFill="1" applyBorder="1" applyAlignment="1">
      <x:alignment horizontal="center"/>
    </x:xf>
    <x:xf numFmtId="203" fontId="6" fillId="6" borderId="0" xfId="0" applyNumberFormat="1" applyFont="1" applyFill="1" applyBorder="1" applyAlignment="1">
      <x:alignment horizontal="center"/>
    </x:xf>
    <x:xf numFmtId="203" fontId="6" fillId="6" borderId="10" xfId="0" applyNumberFormat="1" applyFont="1" applyFill="1" applyBorder="1" applyAlignment="1">
      <x:alignment horizontal="center"/>
    </x:xf>
    <x:xf numFmtId="203" fontId="6" fillId="6" borderId="11" xfId="0" applyNumberFormat="1" applyFont="1" applyFill="1" applyBorder="1" applyAlignment="1">
      <x:alignment horizontal="center"/>
    </x:xf>
    <x:xf numFmtId="203" fontId="6" fillId="6" borderId="3" xfId="0" applyNumberFormat="1" applyFont="1" applyFill="1" applyBorder="1" applyAlignment="1">
      <x:alignment horizontal="center"/>
    </x:xf>
    <x:xf numFmtId="203" fontId="6" fillId="6" borderId="12" xfId="0" applyNumberFormat="1" applyFont="1" applyFill="1" applyBorder="1" applyAlignment="1">
      <x:alignment horizontal="center"/>
    </x:xf>
    <x:xf numFmtId="203" fontId="6" fillId="6" borderId="6" xfId="0" applyNumberFormat="1" applyFont="1" applyFill="1" applyBorder="1" applyAlignment="1">
      <x:alignment horizontal="center" vertical="center"/>
    </x:xf>
    <x:xf numFmtId="203" fontId="6" fillId="6" borderId="7" xfId="0" applyNumberFormat="1" applyFont="1" applyFill="1" applyBorder="1" applyAlignment="1">
      <x:alignment horizontal="center" vertical="center"/>
    </x:xf>
    <x:xf numFmtId="203" fontId="6" fillId="6" borderId="8" xfId="0" applyNumberFormat="1" applyFont="1" applyFill="1" applyBorder="1" applyAlignment="1">
      <x:alignment horizontal="center" vertical="center"/>
    </x:xf>
    <x:xf numFmtId="203" fontId="6" fillId="6" borderId="9" xfId="0" applyNumberFormat="1" applyFont="1" applyFill="1" applyBorder="1" applyAlignment="1">
      <x:alignment horizontal="center" vertical="center"/>
    </x:xf>
    <x:xf numFmtId="203" fontId="6" fillId="6" borderId="0" xfId="0" applyNumberFormat="1" applyFont="1" applyFill="1" applyBorder="1" applyAlignment="1">
      <x:alignment horizontal="center" vertical="center"/>
    </x:xf>
    <x:xf numFmtId="203" fontId="6" fillId="6" borderId="10" xfId="0" applyNumberFormat="1" applyFont="1" applyFill="1" applyBorder="1" applyAlignment="1">
      <x:alignment horizontal="center" vertical="center"/>
    </x:xf>
    <x:xf numFmtId="203" fontId="6" fillId="6" borderId="11" xfId="0" applyNumberFormat="1" applyFont="1" applyFill="1" applyBorder="1" applyAlignment="1">
      <x:alignment horizontal="center" vertical="center"/>
    </x:xf>
    <x:xf numFmtId="203" fontId="6" fillId="6" borderId="3" xfId="0" applyNumberFormat="1" applyFont="1" applyFill="1" applyBorder="1" applyAlignment="1">
      <x:alignment horizontal="center" vertical="center"/>
    </x:xf>
    <x:xf numFmtId="203" fontId="6" fillId="6" borderId="12" xfId="0" applyNumberFormat="1" applyFont="1" applyFill="1" applyBorder="1" applyAlignment="1">
      <x:alignment horizontal="center" vertical="center"/>
    </x:xf>
    <x:xf numFmtId="204" fontId="6" fillId="6" borderId="6" xfId="0" applyNumberFormat="1" applyFont="1" applyFill="1" applyBorder="1"/>
    <x:xf numFmtId="204" fontId="6" fillId="6" borderId="8" xfId="0" applyNumberFormat="1" applyFont="1" applyFill="1" applyBorder="1"/>
    <x:xf numFmtId="204" fontId="6" fillId="6" borderId="9" xfId="0" applyNumberFormat="1" applyFont="1" applyFill="1" applyBorder="1"/>
    <x:xf numFmtId="204" fontId="6" fillId="6" borderId="10" xfId="0" applyNumberFormat="1" applyFont="1" applyFill="1" applyBorder="1"/>
    <x:xf numFmtId="204" fontId="6" fillId="6" borderId="11" xfId="0" applyNumberFormat="1" applyFont="1" applyFill="1" applyBorder="1"/>
    <x:xf numFmtId="204" fontId="6" fillId="6" borderId="12" xfId="0" applyNumberFormat="1" applyFont="1" applyFill="1" applyBorder="1"/>
    <x:xf numFmtId="204" fontId="6" fillId="6" borderId="6" xfId="0" applyNumberFormat="1" applyFont="1" applyFill="1" applyBorder="1" applyAlignment="1">
      <x:alignment horizontal="center"/>
    </x:xf>
    <x:xf numFmtId="204" fontId="6" fillId="6" borderId="8" xfId="0" applyNumberFormat="1" applyFont="1" applyFill="1" applyBorder="1" applyAlignment="1">
      <x:alignment horizontal="center"/>
    </x:xf>
    <x:xf numFmtId="204" fontId="6" fillId="6" borderId="9" xfId="0" applyNumberFormat="1" applyFont="1" applyFill="1" applyBorder="1" applyAlignment="1">
      <x:alignment horizontal="center"/>
    </x:xf>
    <x:xf numFmtId="204" fontId="6" fillId="6" borderId="10" xfId="0" applyNumberFormat="1" applyFont="1" applyFill="1" applyBorder="1" applyAlignment="1">
      <x:alignment horizontal="center"/>
    </x:xf>
    <x:xf numFmtId="204" fontId="6" fillId="6" borderId="11" xfId="0" applyNumberFormat="1" applyFont="1" applyFill="1" applyBorder="1" applyAlignment="1">
      <x:alignment horizontal="center"/>
    </x:xf>
    <x:xf numFmtId="204" fontId="6" fillId="6" borderId="12" xfId="0" applyNumberFormat="1" applyFont="1" applyFill="1" applyBorder="1" applyAlignment="1">
      <x:alignment horizontal="center"/>
    </x:xf>
    <x:xf numFmtId="204" fontId="6" fillId="6" borderId="6" xfId="0" applyNumberFormat="1" applyFont="1" applyFill="1" applyBorder="1" applyAlignment="1">
      <x:alignment horizontal="center" vertical="center"/>
    </x:xf>
    <x:xf numFmtId="204" fontId="6" fillId="6" borderId="8" xfId="0" applyNumberFormat="1" applyFont="1" applyFill="1" applyBorder="1" applyAlignment="1">
      <x:alignment horizontal="center" vertical="center"/>
    </x:xf>
    <x:xf numFmtId="204" fontId="6" fillId="6" borderId="9" xfId="0" applyNumberFormat="1" applyFont="1" applyFill="1" applyBorder="1" applyAlignment="1">
      <x:alignment horizontal="center" vertical="center"/>
    </x:xf>
    <x:xf numFmtId="204" fontId="6" fillId="6" borderId="10" xfId="0" applyNumberFormat="1" applyFont="1" applyFill="1" applyBorder="1" applyAlignment="1">
      <x:alignment horizontal="center" vertical="center"/>
    </x:xf>
    <x:xf numFmtId="204" fontId="6" fillId="6" borderId="11" xfId="0" applyNumberFormat="1" applyFont="1" applyFill="1" applyBorder="1" applyAlignment="1">
      <x:alignment horizontal="center" vertical="center"/>
    </x:xf>
    <x:xf numFmtId="204" fontId="6" fillId="6" borderId="12" xfId="0" applyNumberFormat="1" applyFont="1" applyFill="1" applyBorder="1" applyAlignment="1">
      <x:alignment horizontal="center" vertical="center"/>
    </x:xf>
    <x:xf numFmtId="203" fontId="4" fillId="0" borderId="3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4" fontId="4" fillId="0" borderId="4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9" fillId="4" borderId="5" xfId="0" applyNumberFormat="1" applyFont="1" applyFill="1" applyBorder="1" applyAlignment="1">
      <x:alignment horizontal="center" vertical="center" wrapText="1"/>
    </x:xf>
    <x:xf numFmtId="0" fontId="11" fillId="0" borderId="3" xfId="0" applyNumberFormat="1" applyFont="1" applyFill="1" applyBorder="1" applyAlignment="1">
      <x:alignment vertical="top" wrapText="1"/>
    </x:xf>
    <x:xf numFmtId="200" fontId="11" fillId="5" borderId="3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vertical="top" wrapText="1"/>
    </x:xf>
    <x:xf numFmtId="0" fontId="11" fillId="5" borderId="4" xfId="0" applyNumberFormat="1" applyFont="1" applyFill="1" applyBorder="1" applyAlignment="1">
      <x:alignment vertical="top" wrapText="1"/>
    </x:xf>
    <x:xf numFmtId="201" fontId="13" fillId="6" borderId="6" xfId="0" applyNumberFormat="1" applyFont="1" applyFill="1" applyBorder="1" applyAlignment="1">
      <x:alignment horizontal="center" vertical="center"/>
    </x:xf>
    <x:xf numFmtId="201" fontId="13" fillId="6" borderId="7" xfId="0" applyNumberFormat="1" applyFont="1" applyFill="1" applyBorder="1" applyAlignment="1">
      <x:alignment horizontal="center" vertical="center"/>
    </x:xf>
    <x:xf numFmtId="201" fontId="13" fillId="6" borderId="8" xfId="0" applyNumberFormat="1" applyFont="1" applyFill="1" applyBorder="1" applyAlignment="1">
      <x:alignment horizontal="center" vertical="center"/>
    </x:xf>
    <x:xf numFmtId="202" fontId="13" fillId="6" borderId="6" xfId="0" applyNumberFormat="1" applyFont="1" applyFill="1" applyBorder="1" applyAlignment="1">
      <x:alignment horizontal="center" vertical="center"/>
    </x:xf>
    <x:xf numFmtId="202" fontId="13" fillId="6" borderId="7" xfId="0" applyNumberFormat="1" applyFont="1" applyFill="1" applyBorder="1" applyAlignment="1">
      <x:alignment horizontal="center" vertical="center"/>
    </x:xf>
    <x:xf numFmtId="202" fontId="13" fillId="6" borderId="8" xfId="0" applyNumberFormat="1" applyFont="1" applyFill="1" applyBorder="1" applyAlignment="1">
      <x:alignment horizontal="center" vertical="center"/>
    </x:xf>
    <x:xf numFmtId="203" fontId="13" fillId="6" borderId="6" xfId="0" applyNumberFormat="1" applyFont="1" applyFill="1" applyBorder="1" applyAlignment="1">
      <x:alignment horizontal="center" vertical="center"/>
    </x:xf>
    <x:xf numFmtId="203" fontId="13" fillId="6" borderId="7" xfId="0" applyNumberFormat="1" applyFont="1" applyFill="1" applyBorder="1" applyAlignment="1">
      <x:alignment horizontal="center" vertical="center"/>
    </x:xf>
    <x:xf numFmtId="203" fontId="13" fillId="6" borderId="8" xfId="0" applyNumberFormat="1" applyFont="1" applyFill="1" applyBorder="1" applyAlignment="1">
      <x:alignment horizontal="center" vertical="center"/>
    </x:xf>
    <x:xf numFmtId="204" fontId="13" fillId="6" borderId="6" xfId="0" applyNumberFormat="1" applyFont="1" applyFill="1" applyBorder="1" applyAlignment="1">
      <x:alignment horizontal="center" vertical="center"/>
    </x:xf>
    <x:xf numFmtId="204" fontId="13" fillId="6" borderId="8" xfId="0" applyNumberFormat="1" applyFont="1" applyFill="1" applyBorder="1" applyAlignment="1">
      <x:alignment horizontal="center" vertical="center"/>
    </x:xf>
    <x:xf numFmtId="201" fontId="13" fillId="6" borderId="9" xfId="0" applyNumberFormat="1" applyFont="1" applyFill="1" applyBorder="1" applyAlignment="1">
      <x:alignment horizontal="center" vertical="center"/>
    </x:xf>
    <x:xf numFmtId="201" fontId="13" fillId="6" borderId="0" xfId="0" applyNumberFormat="1" applyFont="1" applyFill="1" applyBorder="1" applyAlignment="1">
      <x:alignment horizontal="center" vertical="center"/>
    </x:xf>
    <x:xf numFmtId="201" fontId="13" fillId="6" borderId="10" xfId="0" applyNumberFormat="1" applyFont="1" applyFill="1" applyBorder="1" applyAlignment="1">
      <x:alignment horizontal="center" vertical="center"/>
    </x:xf>
    <x:xf numFmtId="202" fontId="13" fillId="6" borderId="9" xfId="0" applyNumberFormat="1" applyFont="1" applyFill="1" applyBorder="1" applyAlignment="1">
      <x:alignment horizontal="center" vertical="center"/>
    </x:xf>
    <x:xf numFmtId="202" fontId="13" fillId="6" borderId="0" xfId="0" applyNumberFormat="1" applyFont="1" applyFill="1" applyBorder="1" applyAlignment="1">
      <x:alignment horizontal="center" vertical="center"/>
    </x:xf>
    <x:xf numFmtId="202" fontId="13" fillId="6" borderId="10" xfId="0" applyNumberFormat="1" applyFont="1" applyFill="1" applyBorder="1" applyAlignment="1">
      <x:alignment horizontal="center" vertical="center"/>
    </x:xf>
    <x:xf numFmtId="203" fontId="13" fillId="6" borderId="9" xfId="0" applyNumberFormat="1" applyFont="1" applyFill="1" applyBorder="1" applyAlignment="1">
      <x:alignment horizontal="center" vertical="center"/>
    </x:xf>
    <x:xf numFmtId="203" fontId="13" fillId="6" borderId="0" xfId="0" applyNumberFormat="1" applyFont="1" applyFill="1" applyBorder="1" applyAlignment="1">
      <x:alignment horizontal="center" vertical="center"/>
    </x:xf>
    <x:xf numFmtId="203" fontId="13" fillId="6" borderId="10" xfId="0" applyNumberFormat="1" applyFont="1" applyFill="1" applyBorder="1" applyAlignment="1">
      <x:alignment horizontal="center" vertical="center"/>
    </x:xf>
    <x:xf numFmtId="204" fontId="13" fillId="6" borderId="9" xfId="0" applyNumberFormat="1" applyFont="1" applyFill="1" applyBorder="1" applyAlignment="1">
      <x:alignment horizontal="center" vertical="center"/>
    </x:xf>
    <x:xf numFmtId="204" fontId="13" fillId="6" borderId="10" xfId="0" applyNumberFormat="1" applyFont="1" applyFill="1" applyBorder="1" applyAlignment="1">
      <x:alignment horizontal="center" vertical="center"/>
    </x:xf>
    <x:xf numFmtId="201" fontId="13" fillId="6" borderId="11" xfId="0" applyNumberFormat="1" applyFont="1" applyFill="1" applyBorder="1" applyAlignment="1">
      <x:alignment horizontal="center" vertical="center"/>
    </x:xf>
    <x:xf numFmtId="201" fontId="13" fillId="6" borderId="3" xfId="0" applyNumberFormat="1" applyFont="1" applyFill="1" applyBorder="1" applyAlignment="1">
      <x:alignment horizontal="center" vertical="center"/>
    </x:xf>
    <x:xf numFmtId="201" fontId="13" fillId="6" borderId="12" xfId="0" applyNumberFormat="1" applyFont="1" applyFill="1" applyBorder="1" applyAlignment="1">
      <x:alignment horizontal="center" vertical="center"/>
    </x:xf>
    <x:xf numFmtId="202" fontId="13" fillId="6" borderId="11" xfId="0" applyNumberFormat="1" applyFont="1" applyFill="1" applyBorder="1" applyAlignment="1">
      <x:alignment horizontal="center" vertical="center"/>
    </x:xf>
    <x:xf numFmtId="202" fontId="13" fillId="6" borderId="3" xfId="0" applyNumberFormat="1" applyFont="1" applyFill="1" applyBorder="1" applyAlignment="1">
      <x:alignment horizontal="center" vertical="center"/>
    </x:xf>
    <x:xf numFmtId="202" fontId="13" fillId="6" borderId="12" xfId="0" applyNumberFormat="1" applyFont="1" applyFill="1" applyBorder="1" applyAlignment="1">
      <x:alignment horizontal="center" vertical="center"/>
    </x:xf>
    <x:xf numFmtId="203" fontId="13" fillId="6" borderId="11" xfId="0" applyNumberFormat="1" applyFont="1" applyFill="1" applyBorder="1" applyAlignment="1">
      <x:alignment horizontal="center" vertical="center"/>
    </x:xf>
    <x:xf numFmtId="203" fontId="13" fillId="6" borderId="3" xfId="0" applyNumberFormat="1" applyFont="1" applyFill="1" applyBorder="1" applyAlignment="1">
      <x:alignment horizontal="center" vertical="center"/>
    </x:xf>
    <x:xf numFmtId="203" fontId="13" fillId="6" borderId="12" xfId="0" applyNumberFormat="1" applyFont="1" applyFill="1" applyBorder="1" applyAlignment="1">
      <x:alignment horizontal="center" vertical="center"/>
    </x:xf>
    <x:xf numFmtId="204" fontId="13" fillId="6" borderId="11" xfId="0" applyNumberFormat="1" applyFont="1" applyFill="1" applyBorder="1" applyAlignment="1">
      <x:alignment horizontal="center" vertical="center"/>
    </x:xf>
    <x:xf numFmtId="204" fontId="13" fillId="6" borderId="12" xfId="0" applyNumberFormat="1" applyFont="1" applyFill="1" applyBorder="1" applyAlignment="1">
      <x:alignment horizontal="center" vertical="center"/>
    </x:xf>
    <x:xf numFmtId="203" fontId="11" fillId="0" borderId="3" xfId="0" applyNumberFormat="1" applyFont="1" applyFill="1" applyBorder="1" applyAlignment="1">
      <x:alignment vertical="top" wrapText="1"/>
    </x:xf>
    <x:xf numFmtId="203" fontId="11" fillId="0" borderId="4" xfId="0" applyNumberFormat="1" applyFont="1" applyFill="1" applyBorder="1" applyAlignment="1">
      <x:alignment vertical="top" wrapText="1"/>
    </x:xf>
    <x:xf numFmtId="204" fontId="11" fillId="0" borderId="4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5" fontId="4" fillId="0" borderId="3" xfId="0" applyNumberFormat="1" applyFont="1" applyFill="1" applyBorder="1" applyAlignment="1">
      <x:alignment vertical="top" wrapText="1"/>
    </x:xf>
    <x:xf numFmtId="205" fontId="4" fillId="0" borderId="4" xfId="0" applyNumberFormat="1" applyFont="1" applyFill="1" applyBorder="1" applyAlignment="1">
      <x:alignment vertical="top" wrapText="1"/>
    </x:xf>
    <x:xf numFmtId="204" fontId="4" fillId="0" borderId="3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3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/>
    </x:xf>
    <x:xf numFmtId="0" fontId="16" fillId="4" borderId="1" xfId="0" applyNumberFormat="1" applyFont="1" applyFill="1" applyBorder="1" applyAlignment="1">
      <x:alignment horizontal="center" vertical="center" wrapText="1"/>
    </x:xf>
    <x:xf numFmtId="0" fontId="16" fillId="4" borderId="2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/>
    <x:xf numFmtId="0" fontId="16" fillId="4" borderId="5" xfId="0" applyNumberFormat="1" applyFont="1" applyFill="1" applyBorder="1" applyAlignment="1">
      <x:alignment horizontal="center" vertical="center" wrapText="1"/>
    </x:xf>
    <x:xf numFmtId="0" fontId="18" fillId="3" borderId="0" xfId="0" applyNumberFormat="1" applyFont="1" applyFill="1" applyBorder="1" applyAlignment="1">
      <x:alignment horizontal="center" vertical="center"/>
    </x:xf>
    <x:xf numFmtId="201" fontId="19" fillId="6" borderId="6" xfId="0" applyNumberFormat="1" applyFont="1" applyFill="1" applyBorder="1" applyAlignment="1">
      <x:alignment horizontal="center" vertical="center"/>
    </x:xf>
    <x:xf numFmtId="201" fontId="19" fillId="6" borderId="7" xfId="0" applyNumberFormat="1" applyFont="1" applyFill="1" applyBorder="1" applyAlignment="1">
      <x:alignment horizontal="center" vertical="center"/>
    </x:xf>
    <x:xf numFmtId="201" fontId="19" fillId="6" borderId="8" xfId="0" applyNumberFormat="1" applyFont="1" applyFill="1" applyBorder="1" applyAlignment="1">
      <x:alignment horizontal="center" vertical="center"/>
    </x:xf>
    <x:xf numFmtId="202" fontId="19" fillId="6" borderId="6" xfId="0" applyNumberFormat="1" applyFont="1" applyFill="1" applyBorder="1" applyAlignment="1">
      <x:alignment horizontal="center" vertical="center"/>
    </x:xf>
    <x:xf numFmtId="202" fontId="19" fillId="6" borderId="7" xfId="0" applyNumberFormat="1" applyFont="1" applyFill="1" applyBorder="1" applyAlignment="1">
      <x:alignment horizontal="center" vertical="center"/>
    </x:xf>
    <x:xf numFmtId="202" fontId="19" fillId="6" borderId="8" xfId="0" applyNumberFormat="1" applyFont="1" applyFill="1" applyBorder="1" applyAlignment="1">
      <x:alignment horizontal="center" vertical="center"/>
    </x:xf>
    <x:xf numFmtId="203" fontId="19" fillId="6" borderId="6" xfId="0" applyNumberFormat="1" applyFont="1" applyFill="1" applyBorder="1" applyAlignment="1">
      <x:alignment horizontal="center" vertical="center"/>
    </x:xf>
    <x:xf numFmtId="203" fontId="19" fillId="6" borderId="7" xfId="0" applyNumberFormat="1" applyFont="1" applyFill="1" applyBorder="1" applyAlignment="1">
      <x:alignment horizontal="center" vertical="center"/>
    </x:xf>
    <x:xf numFmtId="203" fontId="19" fillId="6" borderId="8" xfId="0" applyNumberFormat="1" applyFont="1" applyFill="1" applyBorder="1" applyAlignment="1">
      <x:alignment horizontal="center" vertical="center"/>
    </x:xf>
    <x:xf numFmtId="204" fontId="19" fillId="6" borderId="6" xfId="0" applyNumberFormat="1" applyFont="1" applyFill="1" applyBorder="1" applyAlignment="1">
      <x:alignment horizontal="center" vertical="center"/>
    </x:xf>
    <x:xf numFmtId="204" fontId="19" fillId="6" borderId="8" xfId="0" applyNumberFormat="1" applyFont="1" applyFill="1" applyBorder="1" applyAlignment="1">
      <x:alignment horizontal="center" vertical="center"/>
    </x:xf>
    <x:xf numFmtId="201" fontId="19" fillId="6" borderId="9" xfId="0" applyNumberFormat="1" applyFont="1" applyFill="1" applyBorder="1" applyAlignment="1">
      <x:alignment horizontal="center" vertical="center"/>
    </x:xf>
    <x:xf numFmtId="201" fontId="19" fillId="6" borderId="0" xfId="0" applyNumberFormat="1" applyFont="1" applyFill="1" applyBorder="1" applyAlignment="1">
      <x:alignment horizontal="center" vertical="center"/>
    </x:xf>
    <x:xf numFmtId="201" fontId="19" fillId="6" borderId="10" xfId="0" applyNumberFormat="1" applyFont="1" applyFill="1" applyBorder="1" applyAlignment="1">
      <x:alignment horizontal="center" vertical="center"/>
    </x:xf>
    <x:xf numFmtId="202" fontId="19" fillId="6" borderId="9" xfId="0" applyNumberFormat="1" applyFont="1" applyFill="1" applyBorder="1" applyAlignment="1">
      <x:alignment horizontal="center" vertical="center"/>
    </x:xf>
    <x:xf numFmtId="202" fontId="19" fillId="6" borderId="0" xfId="0" applyNumberFormat="1" applyFont="1" applyFill="1" applyBorder="1" applyAlignment="1">
      <x:alignment horizontal="center" vertical="center"/>
    </x:xf>
    <x:xf numFmtId="202" fontId="19" fillId="6" borderId="10" xfId="0" applyNumberFormat="1" applyFont="1" applyFill="1" applyBorder="1" applyAlignment="1">
      <x:alignment horizontal="center" vertical="center"/>
    </x:xf>
    <x:xf numFmtId="203" fontId="19" fillId="6" borderId="9" xfId="0" applyNumberFormat="1" applyFont="1" applyFill="1" applyBorder="1" applyAlignment="1">
      <x:alignment horizontal="center" vertical="center"/>
    </x:xf>
    <x:xf numFmtId="203" fontId="19" fillId="6" borderId="0" xfId="0" applyNumberFormat="1" applyFont="1" applyFill="1" applyBorder="1" applyAlignment="1">
      <x:alignment horizontal="center" vertical="center"/>
    </x:xf>
    <x:xf numFmtId="203" fontId="19" fillId="6" borderId="10" xfId="0" applyNumberFormat="1" applyFont="1" applyFill="1" applyBorder="1" applyAlignment="1">
      <x:alignment horizontal="center" vertical="center"/>
    </x:xf>
    <x:xf numFmtId="204" fontId="19" fillId="6" borderId="9" xfId="0" applyNumberFormat="1" applyFont="1" applyFill="1" applyBorder="1" applyAlignment="1">
      <x:alignment horizontal="center" vertical="center"/>
    </x:xf>
    <x:xf numFmtId="204" fontId="19" fillId="6" borderId="10" xfId="0" applyNumberFormat="1" applyFont="1" applyFill="1" applyBorder="1" applyAlignment="1">
      <x:alignment horizontal="center" vertical="center"/>
    </x:xf>
    <x:xf numFmtId="201" fontId="19" fillId="6" borderId="11" xfId="0" applyNumberFormat="1" applyFont="1" applyFill="1" applyBorder="1" applyAlignment="1">
      <x:alignment horizontal="center" vertical="center"/>
    </x:xf>
    <x:xf numFmtId="201" fontId="19" fillId="6" borderId="3" xfId="0" applyNumberFormat="1" applyFont="1" applyFill="1" applyBorder="1" applyAlignment="1">
      <x:alignment horizontal="center" vertical="center"/>
    </x:xf>
    <x:xf numFmtId="201" fontId="19" fillId="6" borderId="12" xfId="0" applyNumberFormat="1" applyFont="1" applyFill="1" applyBorder="1" applyAlignment="1">
      <x:alignment horizontal="center" vertical="center"/>
    </x:xf>
    <x:xf numFmtId="202" fontId="19" fillId="6" borderId="11" xfId="0" applyNumberFormat="1" applyFont="1" applyFill="1" applyBorder="1" applyAlignment="1">
      <x:alignment horizontal="center" vertical="center"/>
    </x:xf>
    <x:xf numFmtId="202" fontId="19" fillId="6" borderId="3" xfId="0" applyNumberFormat="1" applyFont="1" applyFill="1" applyBorder="1" applyAlignment="1">
      <x:alignment horizontal="center" vertical="center"/>
    </x:xf>
    <x:xf numFmtId="202" fontId="19" fillId="6" borderId="12" xfId="0" applyNumberFormat="1" applyFont="1" applyFill="1" applyBorder="1" applyAlignment="1">
      <x:alignment horizontal="center" vertical="center"/>
    </x:xf>
    <x:xf numFmtId="203" fontId="19" fillId="6" borderId="11" xfId="0" applyNumberFormat="1" applyFont="1" applyFill="1" applyBorder="1" applyAlignment="1">
      <x:alignment horizontal="center" vertical="center"/>
    </x:xf>
    <x:xf numFmtId="203" fontId="19" fillId="6" borderId="3" xfId="0" applyNumberFormat="1" applyFont="1" applyFill="1" applyBorder="1" applyAlignment="1">
      <x:alignment horizontal="center" vertical="center"/>
    </x:xf>
    <x:xf numFmtId="203" fontId="19" fillId="6" borderId="12" xfId="0" applyNumberFormat="1" applyFont="1" applyFill="1" applyBorder="1" applyAlignment="1">
      <x:alignment horizontal="center" vertical="center"/>
    </x:xf>
    <x:xf numFmtId="204" fontId="19" fillId="6" borderId="11" xfId="0" applyNumberFormat="1" applyFont="1" applyFill="1" applyBorder="1" applyAlignment="1">
      <x:alignment horizontal="center" vertical="center"/>
    </x:xf>
    <x:xf numFmtId="204" fontId="19" fillId="6" borderId="12" xfId="0" applyNumberFormat="1" applyFont="1" applyFill="1" applyBorder="1" applyAlignment="1">
      <x:alignment horizontal="center" vertical="center"/>
    </x:xf>
    <x:xf numFmtId="200" fontId="11" fillId="0" borderId="3" xfId="0" applyNumberFormat="1" applyFont="1" applyFill="1" applyBorder="1" applyAlignment="1">
      <x:alignment vertical="top" wrapText="1"/>
    </x:xf>
    <x:xf numFmtId="205" fontId="11" fillId="0" borderId="3" xfId="0" applyNumberFormat="1" applyFont="1" applyFill="1" applyBorder="1" applyAlignment="1">
      <x:alignment vertical="top" wrapText="1"/>
    </x:xf>
    <x:xf numFmtId="204" fontId="11" fillId="0" borderId="3" xfId="0" applyNumberFormat="1" applyFont="1" applyFill="1" applyBorder="1" applyAlignment="1">
      <x:alignment vertical="top" wrapText="1"/>
    </x:xf>
    <x:xf numFmtId="200" fontId="11" fillId="0" borderId="4" xfId="0" applyNumberFormat="1" applyFont="1" applyFill="1" applyBorder="1" applyAlignment="1">
      <x:alignment vertical="top" wrapText="1"/>
    </x:xf>
    <x:xf numFmtId="205" fontId="11" fillId="0" borderId="4" xfId="0" applyNumberFormat="1" applyFont="1" applyFill="1" applyBorder="1" applyAlignment="1">
      <x:alignment vertical="top" wrapText="1"/>
    </x:xf>
    <x:xf numFmtId="0" fontId="20" fillId="2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6" xfId="0" applyNumberFormat="1" applyFont="1" applyFill="1" applyBorder="1"/>
    <x:xf numFmtId="0" fontId="4" fillId="9" borderId="7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0" fontId="4" fillId="9" xfId="0" applyNumberFormat="1" applyFont="1" applyFill="1" applyBorder="0"/>
    <x:xf numFmtId="0" fontId="4" fillId="9" borderId="10" xfId="0" applyNumberFormat="1" applyFont="1" applyFill="1" applyBorder="1"/>
    <x:xf numFmtId="0" fontId="4" fillId="9" borderId="11" xfId="0" applyNumberFormat="1" applyFont="1" applyFill="1" applyBorder="1"/>
    <x:xf numFmtId="0" fontId="4" fillId="9" borderId="3" xfId="0" applyNumberFormat="1" applyFont="1" applyFill="1" applyBorder="1"/>
    <x:xf numFmtId="0" fontId="4" fillId="9" borderId="12" xfId="0" applyNumberFormat="1" applyFont="1" applyFill="1" applyBorder="1"/>
    <x:xf numFmtId="0" fontId="4" fillId="9" borderId="6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wrapText="1"/>
    </x:xf>
    <x:xf numFmtId="0" fontId="4" fillId="9" xfId="0" applyNumberFormat="1" applyFont="1" applyFill="1" applyBorder="0" applyAlignment="1">
      <x:alignment wrapText="1"/>
    </x:xf>
    <x:xf numFmtId="0" fontId="4" fillId="9" borderId="10" xfId="0" applyNumberFormat="1" applyFont="1" applyFill="1" applyBorder="1" applyAlignment="1">
      <x:alignment wrapText="1"/>
    </x:xf>
    <x:xf numFmtId="0" fontId="4" fillId="9" borderId="11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12" xfId="0" applyNumberFormat="1" applyFont="1" applyFill="1" applyBorder="1" applyAlignment="1">
      <x:alignment wrapText="1"/>
    </x:xf>
    <x:xf numFmtId="0" fontId="4" fillId="9" borderId="6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 wrapText="1"/>
    </x:xf>
    <x:xf numFmtId="0" fontId="4" fillId="9" borderId="9" xfId="0" applyNumberFormat="1" applyFont="1" applyFill="1" applyBorder="1" applyAlignment="1">
      <x:alignment vertical="center" wrapText="1"/>
    </x:xf>
    <x:xf numFmtId="0" fontId="4" fillId="9" xfId="0" applyNumberFormat="1" applyFont="1" applyFill="1" applyBorder="0" applyAlignment="1">
      <x:alignment vertical="center" wrapText="1"/>
    </x:xf>
    <x:xf numFmtId="0" fontId="4" fillId="9" borderId="10" xfId="0" applyNumberFormat="1" applyFont="1" applyFill="1" applyBorder="1" applyAlignment="1">
      <x:alignment vertical="center" wrapText="1"/>
    </x:xf>
    <x:xf numFmtId="0" fontId="4" fillId="9" borderId="11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0" fontId="4" fillId="9" borderId="1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5" xfId="0" applyNumberFormat="1" applyFont="1" applyFill="1" applyBorder="1"/>
    <x:xf numFmtId="0" fontId="3" fillId="10" borderId="2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5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5" xfId="0" applyNumberFormat="1" applyFont="1" applyFill="1" applyBorder="1" applyAlignment="1">
      <x:alignment horizontal="center" wrapText="1"/>
    </x:xf>
    <x:xf numFmtId="0" fontId="3" fillId="10" borderId="2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10" borderId="5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206" fontId="4" fillId="0" borderId="3" xfId="0" applyNumberFormat="1" applyFont="1" applyFill="1" applyBorder="1" applyAlignment="1">
      <x:alignment vertical="top" wrapText="1"/>
    </x:xf>
    <x:xf numFmtId="206" fontId="4" fillId="0" borderId="4" xfId="0" applyNumberFormat="1" applyFont="1" applyFill="1" applyBorder="1" applyAlignment="1">
      <x:alignment vertical="top" wrapText="1"/>
    </x:xf>
    <x:xf numFmtId="0" fontId="4" fillId="11" borderId="4" xfId="0" applyNumberFormat="1" applyFont="1" applyFill="1" applyBorder="1" applyAlignment="1">
      <x:alignment vertical="top" wrapText="1"/>
    </x:xf>
    <x:xf numFmtId="200" fontId="4" fillId="11" borderId="4" xfId="0" applyNumberFormat="1" applyFont="1" applyFill="1" applyBorder="1" applyAlignment="1">
      <x:alignment vertical="top" wrapText="1"/>
    </x:xf>
    <x:xf numFmtId="206" fontId="4" fillId="11" borderId="4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17" fillId="12" borderId="0" xfId="0" applyNumberFormat="1" applyFont="1" applyFill="1" applyBorder="1"/>
    <x:xf numFmtId="0" fontId="21" fillId="12" borderId="0" xfId="0" applyNumberFormat="1" applyFont="1" applyFill="1" applyBorder="1"/>
    <x:xf numFmtId="0" fontId="21" fillId="12" borderId="0" xfId="0" applyNumberFormat="1" applyFont="1" applyFill="1" applyBorder="1" applyAlignment="1">
      <x:alignment vertical="center"/>
    </x:xf>
    <x:xf numFmtId="0" fontId="17" fillId="13" borderId="0" xfId="0" applyNumberFormat="1" applyFont="1" applyFill="1" applyBorder="1"/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4" fillId="13" borderId="0" xfId="0" applyNumberFormat="1" applyFont="1" applyFill="1" applyBorder="1"/>
    <x:xf numFmtId="0" fontId="11" fillId="13" borderId="6" xfId="0" applyNumberFormat="1" applyFont="1" applyFill="1" applyBorder="1"/>
    <x:xf numFmtId="0" fontId="11" fillId="13" borderId="7" xfId="0" applyNumberFormat="1" applyFont="1" applyFill="1" applyBorder="1"/>
    <x:xf numFmtId="0" fontId="11" fillId="13" borderId="8" xfId="0" applyNumberFormat="1" applyFont="1" applyFill="1" applyBorder="1"/>
    <x:xf numFmtId="0" fontId="4" fillId="13" borderId="9" xfId="0" applyNumberFormat="1" applyFont="1" applyFill="1" applyBorder="1"/>
    <x:xf numFmtId="0" fontId="4" fillId="13" xfId="0" applyNumberFormat="1" applyFont="1" applyFill="1" applyBorder="0"/>
    <x:xf numFmtId="0" fontId="4" fillId="13" borderId="10" xfId="0" applyNumberFormat="1" applyFont="1" applyFill="1" applyBorder="1"/>
    <x:xf numFmtId="0" fontId="4" fillId="13" borderId="11" xfId="0" applyNumberFormat="1" applyFont="1" applyFill="1" applyBorder="1"/>
    <x:xf numFmtId="0" fontId="4" fillId="13" borderId="3" xfId="0" applyNumberFormat="1" applyFont="1" applyFill="1" applyBorder="1"/>
    <x:xf numFmtId="0" fontId="4" fillId="13" borderId="12" xfId="0" applyNumberFormat="1" applyFont="1" applyFill="1" applyBorder="1"/>
    <x:xf numFmtId="0" fontId="11" fillId="13" borderId="6" xfId="0" applyNumberFormat="1" applyFont="1" applyFill="1" applyBorder="1" applyAlignment="1">
      <x:alignment wrapText="1"/>
    </x:xf>
    <x:xf numFmtId="0" fontId="11" fillId="13" borderId="7" xfId="0" applyNumberFormat="1" applyFont="1" applyFill="1" applyBorder="1" applyAlignment="1">
      <x:alignment wrapText="1"/>
    </x:xf>
    <x:xf numFmtId="0" fontId="11" fillId="13" borderId="8" xfId="0" applyNumberFormat="1" applyFont="1" applyFill="1" applyBorder="1" applyAlignment="1">
      <x:alignment wrapText="1"/>
    </x:xf>
    <x:xf numFmtId="0" fontId="4" fillId="13" borderId="9" xfId="0" applyNumberFormat="1" applyFont="1" applyFill="1" applyBorder="1" applyAlignment="1">
      <x:alignment wrapText="1"/>
    </x:xf>
    <x:xf numFmtId="0" fontId="4" fillId="13" xfId="0" applyNumberFormat="1" applyFont="1" applyFill="1" applyBorder="0" applyAlignment="1">
      <x:alignment wrapText="1"/>
    </x:xf>
    <x:xf numFmtId="0" fontId="4" fillId="13" borderId="10" xfId="0" applyNumberFormat="1" applyFont="1" applyFill="1" applyBorder="1" applyAlignment="1">
      <x:alignment wrapText="1"/>
    </x:xf>
    <x:xf numFmtId="0" fontId="4" fillId="13" borderId="11" xfId="0" applyNumberFormat="1" applyFont="1" applyFill="1" applyBorder="1" applyAlignment="1">
      <x:alignment wrapText="1"/>
    </x:xf>
    <x:xf numFmtId="0" fontId="4" fillId="13" borderId="3" xfId="0" applyNumberFormat="1" applyFont="1" applyFill="1" applyBorder="1" applyAlignment="1">
      <x:alignment wrapText="1"/>
    </x:xf>
    <x:xf numFmtId="0" fontId="4" fillId="13" borderId="12" xfId="0" applyNumberFormat="1" applyFont="1" applyFill="1" applyBorder="1" applyAlignment="1">
      <x:alignment wrapText="1"/>
    </x:xf>
    <x:xf numFmtId="0" fontId="11" fillId="13" borderId="6" xfId="0" applyNumberFormat="1" applyFont="1" applyFill="1" applyBorder="1" applyAlignment="1">
      <x:alignment vertical="center" wrapText="1"/>
    </x:xf>
    <x:xf numFmtId="0" fontId="11" fillId="13" borderId="7" xfId="0" applyNumberFormat="1" applyFont="1" applyFill="1" applyBorder="1" applyAlignment="1">
      <x:alignment vertical="center" wrapText="1"/>
    </x:xf>
    <x:xf numFmtId="0" fontId="11" fillId="13" borderId="8" xfId="0" applyNumberFormat="1" applyFont="1" applyFill="1" applyBorder="1" applyAlignment="1">
      <x:alignment vertical="center" wrapText="1"/>
    </x:xf>
    <x:xf numFmtId="0" fontId="4" fillId="13" borderId="9" xfId="0" applyNumberFormat="1" applyFont="1" applyFill="1" applyBorder="1" applyAlignment="1">
      <x:alignment vertical="center" wrapText="1"/>
    </x:xf>
    <x:xf numFmtId="0" fontId="4" fillId="13" xfId="0" applyNumberFormat="1" applyFont="1" applyFill="1" applyBorder="0" applyAlignment="1">
      <x:alignment vertical="center" wrapText="1"/>
    </x:xf>
    <x:xf numFmtId="0" fontId="4" fillId="13" borderId="10" xfId="0" applyNumberFormat="1" applyFont="1" applyFill="1" applyBorder="1" applyAlignment="1">
      <x:alignment vertical="center" wrapText="1"/>
    </x:xf>
    <x:xf numFmtId="0" fontId="4" fillId="13" borderId="11" xfId="0" applyNumberFormat="1" applyFont="1" applyFill="1" applyBorder="1" applyAlignment="1">
      <x:alignment vertical="center" wrapText="1"/>
    </x:xf>
    <x:xf numFmtId="0" fontId="4" fillId="13" borderId="3" xfId="0" applyNumberFormat="1" applyFont="1" applyFill="1" applyBorder="1" applyAlignment="1">
      <x:alignment vertical="center" wrapText="1"/>
    </x:xf>
    <x:xf numFmtId="0" fontId="4" fillId="13" borderId="12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horizontal="left"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4" fillId="16" borderId="6" xfId="0" applyNumberFormat="1" applyFont="1" applyFill="1" applyBorder="1" applyAlignment="1">
      <x:alignment vertical="center" wrapText="1"/>
    </x:xf>
    <x:xf numFmtId="0" fontId="4" fillId="16" borderId="7" xfId="0" applyNumberFormat="1" applyFont="1" applyFill="1" applyBorder="1" applyAlignment="1">
      <x:alignment vertical="center" wrapText="1"/>
    </x:xf>
    <x:xf numFmtId="0" fontId="4" fillId="16" borderId="8" xfId="0" applyNumberFormat="1" applyFont="1" applyFill="1" applyBorder="1" applyAlignment="1">
      <x:alignment vertical="center" wrapText="1"/>
    </x:xf>
    <x:xf numFmtId="0" fontId="4" fillId="16" borderId="9" xfId="0" applyNumberFormat="1" applyFont="1" applyFill="1" applyBorder="1" applyAlignment="1">
      <x:alignment vertical="center" wrapText="1"/>
    </x:xf>
    <x:xf numFmtId="0" fontId="4" fillId="16" xfId="0" applyNumberFormat="1" applyFont="1" applyFill="1" applyBorder="0" applyAlignment="1">
      <x:alignment vertical="center" wrapText="1"/>
    </x:xf>
    <x:xf numFmtId="0" fontId="4" fillId="16" borderId="10" xfId="0" applyNumberFormat="1" applyFont="1" applyFill="1" applyBorder="1" applyAlignment="1">
      <x:alignment vertical="center" wrapText="1"/>
    </x:xf>
    <x:xf numFmtId="0" fontId="4" fillId="16" borderId="11" xfId="0" applyNumberFormat="1" applyFont="1" applyFill="1" applyBorder="1" applyAlignment="1">
      <x:alignment vertical="center" wrapText="1"/>
    </x:xf>
    <x:xf numFmtId="0" fontId="4" fillId="16" borderId="3" xfId="0" applyNumberFormat="1" applyFont="1" applyFill="1" applyBorder="1" applyAlignment="1">
      <x:alignment vertical="center" wrapText="1"/>
    </x:xf>
    <x:xf numFmtId="0" fontId="4" fillId="16" borderId="12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2" xfId="0" applyNumberFormat="1" applyFont="1" applyFill="1" applyBorder="1" applyAlignment="1">
      <x:alignment horizontal="center" vertical="center" wrapText="1"/>
    </x:xf>
    <x:xf numFmtId="0" fontId="4" fillId="18" borderId="4" xfId="0" applyNumberFormat="1" applyFont="1" applyFill="1" applyBorder="1" applyAlignment="1">
      <x:alignment vertical="top" wrapText="1"/>
    </x:xf>
    <x:xf numFmtId="200" fontId="4" fillId="18" borderId="4" xfId="0" applyNumberFormat="1" applyFont="1" applyFill="1" applyBorder="1" applyAlignment="1">
      <x:alignment vertical="top" wrapText="1"/>
    </x:xf>
    <x:xf numFmtId="206" fontId="4" fillId="18" borderId="4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center" wrapText="1"/>
    </x:xf>
    <x:xf numFmtId="0" fontId="21" fillId="19" borderId="0" xfId="0" applyNumberFormat="1" applyFont="1" applyFill="1" applyBorder="1" applyAlignment="1">
      <x:alignment vertical="center"/>
    </x:xf>
    <x:xf numFmtId="0" fontId="11" fillId="20" borderId="6" xfId="0" applyNumberFormat="1" applyFont="1" applyFill="1" applyBorder="1" applyAlignment="1">
      <x:alignment vertical="center" wrapText="1"/>
    </x:xf>
    <x:xf numFmtId="0" fontId="11" fillId="20" borderId="7" xfId="0" applyNumberFormat="1" applyFont="1" applyFill="1" applyBorder="1" applyAlignment="1">
      <x:alignment vertical="center" wrapText="1"/>
    </x:xf>
    <x:xf numFmtId="0" fontId="11" fillId="20" borderId="8" xfId="0" applyNumberFormat="1" applyFont="1" applyFill="1" applyBorder="1" applyAlignment="1">
      <x:alignment vertical="center" wrapText="1"/>
    </x:xf>
    <x:xf numFmtId="0" fontId="4" fillId="20" borderId="9" xfId="0" applyNumberFormat="1" applyFont="1" applyFill="1" applyBorder="1" applyAlignment="1">
      <x:alignment vertical="center" wrapText="1"/>
    </x:xf>
    <x:xf numFmtId="0" fontId="4" fillId="20" xfId="0" applyNumberFormat="1" applyFont="1" applyFill="1" applyBorder="0" applyAlignment="1">
      <x:alignment vertical="center" wrapText="1"/>
    </x:xf>
    <x:xf numFmtId="0" fontId="4" fillId="20" borderId="10" xfId="0" applyNumberFormat="1" applyFont="1" applyFill="1" applyBorder="1" applyAlignment="1">
      <x:alignment vertical="center" wrapText="1"/>
    </x:xf>
    <x:xf numFmtId="0" fontId="4" fillId="20" borderId="11" xfId="0" applyNumberFormat="1" applyFont="1" applyFill="1" applyBorder="1" applyAlignment="1">
      <x:alignment vertical="center" wrapText="1"/>
    </x:xf>
    <x:xf numFmtId="0" fontId="4" fillId="20" borderId="3" xfId="0" applyNumberFormat="1" applyFont="1" applyFill="1" applyBorder="1" applyAlignment="1">
      <x:alignment vertical="center" wrapText="1"/>
    </x:xf>
    <x:xf numFmtId="0" fontId="4" fillId="20" borderId="12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/>
    </x:xf>
    <x:xf numFmtId="0" fontId="2" fillId="22" borderId="0" xfId="0" applyNumberFormat="1" applyFont="1" applyFill="1" applyBorder="1" applyAlignment="1">
      <x:alignment vertical="center" wrapText="1"/>
    </x:xf>
    <x:xf numFmtId="0" fontId="4" fillId="23" borderId="6" xfId="0" applyNumberFormat="1" applyFont="1" applyFill="1" applyBorder="1" applyAlignment="1">
      <x:alignment vertical="center" wrapText="1"/>
    </x:xf>
    <x:xf numFmtId="0" fontId="4" fillId="23" borderId="7" xfId="0" applyNumberFormat="1" applyFont="1" applyFill="1" applyBorder="1" applyAlignment="1">
      <x:alignment vertical="center" wrapText="1"/>
    </x:xf>
    <x:xf numFmtId="0" fontId="4" fillId="23" borderId="8" xfId="0" applyNumberFormat="1" applyFont="1" applyFill="1" applyBorder="1" applyAlignment="1">
      <x:alignment vertical="center" wrapText="1"/>
    </x:xf>
    <x:xf numFmtId="0" fontId="4" fillId="23" borderId="9" xfId="0" applyNumberFormat="1" applyFont="1" applyFill="1" applyBorder="1" applyAlignment="1">
      <x:alignment vertical="center" wrapText="1"/>
    </x:xf>
    <x:xf numFmtId="0" fontId="4" fillId="23" xfId="0" applyNumberFormat="1" applyFont="1" applyFill="1" applyBorder="0" applyAlignment="1">
      <x:alignment vertical="center" wrapText="1"/>
    </x:xf>
    <x:xf numFmtId="0" fontId="4" fillId="23" borderId="10" xfId="0" applyNumberFormat="1" applyFont="1" applyFill="1" applyBorder="1" applyAlignment="1">
      <x:alignment vertical="center" wrapText="1"/>
    </x:xf>
    <x:xf numFmtId="0" fontId="4" fillId="23" borderId="11" xfId="0" applyNumberFormat="1" applyFont="1" applyFill="1" applyBorder="1" applyAlignment="1">
      <x:alignment vertical="center" wrapText="1"/>
    </x:xf>
    <x:xf numFmtId="0" fontId="4" fillId="23" borderId="3" xfId="0" applyNumberFormat="1" applyFont="1" applyFill="1" applyBorder="1" applyAlignment="1">
      <x:alignment vertical="center" wrapText="1"/>
    </x:xf>
    <x:xf numFmtId="0" fontId="4" fillId="23" borderId="12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horizontal="center" vertical="center" wrapText="1"/>
    </x:xf>
    <x:xf numFmtId="0" fontId="3" fillId="24" borderId="5" xfId="0" applyNumberFormat="1" applyFont="1" applyFill="1" applyBorder="1" applyAlignment="1">
      <x:alignment horizontal="center" vertical="center" wrapText="1"/>
    </x:xf>
    <x:xf numFmtId="0" fontId="3" fillId="24" borderId="2" xfId="0" applyNumberFormat="1" applyFont="1" applyFill="1" applyBorder="1" applyAlignment="1">
      <x:alignment horizontal="center" vertical="center" wrapText="1"/>
    </x:xf>
    <x:xf numFmtId="0" fontId="4" fillId="25" borderId="4" xfId="0" applyNumberFormat="1" applyFont="1" applyFill="1" applyBorder="1" applyAlignment="1">
      <x:alignment vertical="top" wrapText="1"/>
    </x:xf>
    <x:xf numFmtId="200" fontId="4" fillId="25" borderId="4" xfId="0" applyNumberFormat="1" applyFont="1" applyFill="1" applyBorder="1" applyAlignment="1">
      <x:alignment vertical="top" wrapText="1"/>
    </x:xf>
    <x:xf numFmtId="206" fontId="4" fillId="25" borderId="4" xfId="0" applyNumberFormat="1" applyFont="1" applyFill="1" applyBorder="1" applyAlignment="1">
      <x:alignment vertical="top" wrapText="1"/>
    </x:xf>
    <x:xf numFmtId="0" fontId="8" fillId="22" borderId="0" xfId="0" applyNumberFormat="1" applyFont="1" applyFill="1" applyBorder="1" applyAlignment="1">
      <x:alignment vertical="center" wrapText="1"/>
    </x:xf>
    <x:xf numFmtId="0" fontId="21" fillId="26" borderId="0" xfId="0" applyNumberFormat="1" applyFont="1" applyFill="1" applyBorder="1" applyAlignment="1">
      <x:alignment vertical="center"/>
    </x:xf>
    <x:xf numFmtId="0" fontId="11" fillId="27" borderId="6" xfId="0" applyNumberFormat="1" applyFont="1" applyFill="1" applyBorder="1" applyAlignment="1">
      <x:alignment vertical="center" wrapText="1"/>
    </x:xf>
    <x:xf numFmtId="0" fontId="11" fillId="27" borderId="7" xfId="0" applyNumberFormat="1" applyFont="1" applyFill="1" applyBorder="1" applyAlignment="1">
      <x:alignment vertical="center" wrapText="1"/>
    </x:xf>
    <x:xf numFmtId="0" fontId="11" fillId="27" borderId="8" xfId="0" applyNumberFormat="1" applyFont="1" applyFill="1" applyBorder="1" applyAlignment="1">
      <x:alignment vertical="center" wrapText="1"/>
    </x:xf>
    <x:xf numFmtId="0" fontId="4" fillId="27" borderId="9" xfId="0" applyNumberFormat="1" applyFont="1" applyFill="1" applyBorder="1" applyAlignment="1">
      <x:alignment vertical="center" wrapText="1"/>
    </x:xf>
    <x:xf numFmtId="0" fontId="4" fillId="27" xfId="0" applyNumberFormat="1" applyFont="1" applyFill="1" applyBorder="0" applyAlignment="1">
      <x:alignment vertical="center" wrapText="1"/>
    </x:xf>
    <x:xf numFmtId="0" fontId="4" fillId="27" borderId="10" xfId="0" applyNumberFormat="1" applyFont="1" applyFill="1" applyBorder="1" applyAlignment="1">
      <x:alignment vertical="center" wrapText="1"/>
    </x:xf>
    <x:xf numFmtId="0" fontId="4" fillId="27" borderId="11" xfId="0" applyNumberFormat="1" applyFont="1" applyFill="1" applyBorder="1" applyAlignment="1">
      <x:alignment vertical="center" wrapText="1"/>
    </x:xf>
    <x:xf numFmtId="0" fontId="4" fillId="27" borderId="3" xfId="0" applyNumberFormat="1" applyFont="1" applyFill="1" applyBorder="1" applyAlignment="1">
      <x:alignment vertical="center" wrapText="1"/>
    </x:xf>
    <x:xf numFmtId="0" fontId="4" fillId="27" borderId="12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horizontal="left" vertical="center"/>
    </x:xf>
    <x:xf numFmtId="0" fontId="2" fillId="29" borderId="0" xfId="0" applyNumberFormat="1" applyFont="1" applyFill="1" applyBorder="1" applyAlignment="1">
      <x:alignment vertical="center" wrapText="1"/>
    </x:xf>
    <x:xf numFmtId="0" fontId="4" fillId="30" borderId="6" xfId="0" applyNumberFormat="1" applyFont="1" applyFill="1" applyBorder="1" applyAlignment="1">
      <x:alignment vertical="center" wrapText="1"/>
    </x:xf>
    <x:xf numFmtId="0" fontId="4" fillId="30" borderId="7" xfId="0" applyNumberFormat="1" applyFont="1" applyFill="1" applyBorder="1" applyAlignment="1">
      <x:alignment vertical="center" wrapText="1"/>
    </x:xf>
    <x:xf numFmtId="0" fontId="4" fillId="30" borderId="8" xfId="0" applyNumberFormat="1" applyFont="1" applyFill="1" applyBorder="1" applyAlignment="1">
      <x:alignment vertical="center" wrapText="1"/>
    </x:xf>
    <x:xf numFmtId="0" fontId="4" fillId="30" borderId="9" xfId="0" applyNumberFormat="1" applyFont="1" applyFill="1" applyBorder="1" applyAlignment="1">
      <x:alignment vertical="center" wrapText="1"/>
    </x:xf>
    <x:xf numFmtId="0" fontId="4" fillId="30" xfId="0" applyNumberFormat="1" applyFont="1" applyFill="1" applyBorder="0" applyAlignment="1">
      <x:alignment vertical="center" wrapText="1"/>
    </x:xf>
    <x:xf numFmtId="0" fontId="4" fillId="30" borderId="10" xfId="0" applyNumberFormat="1" applyFont="1" applyFill="1" applyBorder="1" applyAlignment="1">
      <x:alignment vertical="center" wrapText="1"/>
    </x:xf>
    <x:xf numFmtId="0" fontId="4" fillId="30" borderId="11" xfId="0" applyNumberFormat="1" applyFont="1" applyFill="1" applyBorder="1" applyAlignment="1">
      <x:alignment vertical="center" wrapText="1"/>
    </x:xf>
    <x:xf numFmtId="0" fontId="4" fillId="30" borderId="3" xfId="0" applyNumberFormat="1" applyFont="1" applyFill="1" applyBorder="1" applyAlignment="1">
      <x:alignment vertical="center" wrapText="1"/>
    </x:xf>
    <x:xf numFmtId="0" fontId="4" fillId="30" borderId="12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horizontal="center" vertical="center" wrapText="1"/>
    </x:xf>
    <x:xf numFmtId="0" fontId="3" fillId="31" borderId="5" xfId="0" applyNumberFormat="1" applyFont="1" applyFill="1" applyBorder="1" applyAlignment="1">
      <x:alignment horizontal="center" vertical="center" wrapText="1"/>
    </x:xf>
    <x:xf numFmtId="0" fontId="3" fillId="31" borderId="2" xfId="0" applyNumberFormat="1" applyFont="1" applyFill="1" applyBorder="1" applyAlignment="1">
      <x:alignment horizontal="center" vertical="center" wrapText="1"/>
    </x:xf>
    <x:xf numFmtId="0" fontId="4" fillId="32" borderId="4" xfId="0" applyNumberFormat="1" applyFont="1" applyFill="1" applyBorder="1" applyAlignment="1">
      <x:alignment vertical="top" wrapText="1"/>
    </x:xf>
    <x:xf numFmtId="200" fontId="4" fillId="32" borderId="4" xfId="0" applyNumberFormat="1" applyFont="1" applyFill="1" applyBorder="1" applyAlignment="1">
      <x:alignment vertical="top" wrapText="1"/>
    </x:xf>
    <x:xf numFmtId="206" fontId="4" fillId="32" borderId="4" xfId="0" applyNumberFormat="1" applyFont="1" applyFill="1" applyBorder="1" applyAlignment="1">
      <x:alignment vertical="top" wrapText="1"/>
    </x:xf>
    <x:xf numFmtId="0" fontId="8" fillId="29" borderId="0" xfId="0" applyNumberFormat="1" applyFont="1" applyFill="1" applyBorder="1" applyAlignment="1">
      <x:alignment vertical="center" wrapText="1"/>
    </x:xf>
    <x:xf numFmtId="0" fontId="21" fillId="33" borderId="0" xfId="0" applyNumberFormat="1" applyFont="1" applyFill="1" applyBorder="1" applyAlignment="1">
      <x:alignment vertical="center"/>
    </x:xf>
    <x:xf numFmtId="0" fontId="11" fillId="34" borderId="6" xfId="0" applyNumberFormat="1" applyFont="1" applyFill="1" applyBorder="1" applyAlignment="1">
      <x:alignment vertical="center" wrapText="1"/>
    </x:xf>
    <x:xf numFmtId="0" fontId="11" fillId="34" borderId="7" xfId="0" applyNumberFormat="1" applyFont="1" applyFill="1" applyBorder="1" applyAlignment="1">
      <x:alignment vertical="center" wrapText="1"/>
    </x:xf>
    <x:xf numFmtId="0" fontId="11" fillId="34" borderId="8" xfId="0" applyNumberFormat="1" applyFont="1" applyFill="1" applyBorder="1" applyAlignment="1">
      <x:alignment vertical="center" wrapText="1"/>
    </x:xf>
    <x:xf numFmtId="0" fontId="4" fillId="34" borderId="9" xfId="0" applyNumberFormat="1" applyFont="1" applyFill="1" applyBorder="1" applyAlignment="1">
      <x:alignment vertical="center" wrapText="1"/>
    </x:xf>
    <x:xf numFmtId="0" fontId="4" fillId="34" xfId="0" applyNumberFormat="1" applyFont="1" applyFill="1" applyBorder="0" applyAlignment="1">
      <x:alignment vertical="center" wrapText="1"/>
    </x:xf>
    <x:xf numFmtId="0" fontId="4" fillId="34" borderId="10" xfId="0" applyNumberFormat="1" applyFont="1" applyFill="1" applyBorder="1" applyAlignment="1">
      <x:alignment vertical="center" wrapText="1"/>
    </x:xf>
    <x:xf numFmtId="0" fontId="4" fillId="34" borderId="11" xfId="0" applyNumberFormat="1" applyFont="1" applyFill="1" applyBorder="1" applyAlignment="1">
      <x:alignment vertical="center" wrapText="1"/>
    </x:xf>
    <x:xf numFmtId="0" fontId="4" fillId="34" borderId="3" xfId="0" applyNumberFormat="1" applyFont="1" applyFill="1" applyBorder="1" applyAlignment="1">
      <x:alignment vertical="center" wrapText="1"/>
    </x:xf>
    <x:xf numFmtId="0" fontId="4" fillId="34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7"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16A34A"/>
      </x:font>
      <x:fill>
        <x:patternFill>
          <x:bgColor rgb="FFE8F7F4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16A34A"/>
      </x:font>
      <x:fill>
        <x:patternFill patternType="solid">
          <x:bgColor rgb="FFE8F7F4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D97706"/>
      </x:font>
      <x:fill>
        <x:patternFill patternType="solid"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80b97f5e44529" /><Relationship Type="http://schemas.openxmlformats.org/officeDocument/2006/relationships/theme" Target="/xl/theme/theme1.xml" Id="R99296ae5b3484dd3" /><Relationship Type="http://schemas.openxmlformats.org/officeDocument/2006/relationships/sharedStrings" Target="/xl/sharedStrings.xml" Id="Rd0b22c563de043a7" /><Relationship Type="http://schemas.openxmlformats.org/officeDocument/2006/relationships/worksheet" Target="/xl/worksheets/sheet1.xml" Id="Rfed0c82e53884f8a" /><Relationship Type="http://schemas.openxmlformats.org/officeDocument/2006/relationships/worksheet" Target="/xl/worksheets/sheet2.xml" Id="R5cf4fa341c154d89" /><Relationship Type="http://schemas.openxmlformats.org/officeDocument/2006/relationships/worksheet" Target="/xl/worksheets/sheet3.xml" Id="Rf73a6cf1f0c14a6e" /><Relationship Type="http://schemas.openxmlformats.org/officeDocument/2006/relationships/worksheet" Target="/xl/worksheets/sheet4.xml" Id="R2cb29ae43d9e44e1" /><Relationship Type="http://schemas.openxmlformats.org/officeDocument/2006/relationships/worksheet" Target="/xl/worksheets/sheet5.xml" Id="Rd6b2ca65e9484f71" /><Relationship Type="http://schemas.openxmlformats.org/officeDocument/2006/relationships/worksheet" Target="/xl/worksheets/sheet6.xml" Id="R457c509299fa46a5" /><Relationship Type="http://schemas.openxmlformats.org/officeDocument/2006/relationships/worksheet" Target="/xl/worksheets/sheet7.xml" Id="Rb161dbdb89624032" /><Relationship Type="http://schemas.openxmlformats.org/officeDocument/2006/relationships/worksheet" Target="/xl/worksheets/sheet8.xml" Id="Ra1fb201104784669" /><Relationship Type="http://schemas.openxmlformats.org/officeDocument/2006/relationships/worksheet" Target="/xl/worksheets/sheet9.xml" Id="R91fadf885673463c" /><Relationship Type="http://schemas.openxmlformats.org/officeDocument/2006/relationships/worksheet" Target="/xl/worksheets/sheet10.xml" Id="R0b61b0257e544502" /><Relationship Type="http://schemas.microsoft.com/office/2017/10/relationships/person" Target="/xl/persons/person.xml" Id="Re65114f40dd243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8b9400e2954b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Tiến độ theo giai đoạn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Tiến độ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'01 Tổng quan'!$A$11:$A$16</c:f>
              <c:strCache>
                <c:ptCount val="0"/>
              </c:strCache>
            </c:strRef>
          </c:cat>
          <c:val>
            <c:numRef>
              <c:f>'01 Tổng quan'!$C$11:$C$16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8b9400e2954b6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nh Le Duc" id="{6947DE14-7D56-44F2-93EF-6442414F4BE1}"/>
</xltc:personList>
</file>

<file path=xl/tables/table1.xml><?xml version="1.0" encoding="utf-8"?>
<x:table xmlns:x="http://schemas.openxmlformats.org/spreadsheetml/2006/main" id="1" name="DetailedLearningTable" displayName="DetailedLearningTable" ref="A7:M135" headerRowCount="1" totalsRowCount="0" totalsRowShown="0">
  <x:tableColumns count="13">
    <x:tableColumn id="1" name="Tuần"/>
    <x:tableColumn id="2" name="Ngày bắt đầu"/>
    <x:tableColumn id="3" name="Chủ đề tuần"/>
    <x:tableColumn id="4" name="Thứ tự"/>
    <x:tableColumn id="5" name="Bài học cụ thể"/>
    <x:tableColumn id="6" name="Mở link này"/>
    <x:tableColumn id="7" name="Chỉ đọc phần này"/>
    <x:tableColumn id="8" name="Giờ"/>
    <x:tableColumn id="9" name="Làm ngay sau khi đọc"/>
    <x:tableColumn id="10" name="Đầu ra bắt buộc"/>
    <x:tableColumn id="11" name="Khi bị bí"/>
    <x:tableColumn id="12" name="Trạng thái"/>
    <x:tableColumn id="13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6ffede101c45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d68f3868845748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2" hidden="0" customWidth="1"/>
    <x:col min="4" max="4" width="14" hidden="0" customWidth="1"/>
    <x:col min="5" max="5" width="12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246" t="str">
        <x:v>LỘ TRÌNH SENIOR JAVA BACKEND – TÀI CHÍNH/NGÂN HÀNG</x:v>
      </x:c>
      <x:c r="B1" s="200"/>
      <x:c r="C1" s="200"/>
      <x:c r="D1" s="200"/>
      <x:c r="E1" s="200"/>
      <x:c r="F1" s="200"/>
      <x:c r="G1" s="200"/>
      <x:c r="H1" s="200"/>
      <x:c r="I1" s="200"/>
      <x:c r="J1" s="200"/>
      <x:c r="K1" s="200"/>
      <x:c r="L1" s="200"/>
      <x:c r="M1" s="200"/>
      <x:c r="N1" s="200"/>
    </x:row>
    <x:row r="2" ht="32" customHeight="1">
      <x:c r="A2" s="149" t="str">
        <x:v>39 tuần • 15 giờ/tuần • Hai dự án triển khai thật • Cổng sẵn sàng ứng tuyển</x:v>
      </x:c>
      <x:c r="B2" s="202"/>
      <x:c r="C2" s="202"/>
      <x:c r="D2" s="202"/>
      <x:c r="E2" s="202"/>
      <x:c r="F2" s="202"/>
      <x:c r="G2" s="202"/>
      <x:c r="H2" s="202"/>
      <x:c r="I2" s="202"/>
      <x:c r="J2" s="202"/>
      <x:c r="K2" s="202"/>
      <x:c r="L2" s="202"/>
      <x:c r="M2" s="202"/>
      <x:c r="N2" s="202"/>
    </x:row>
    <x:row r="3">
      <x:c r="A3" s="203" t="str">
        <x:v>CẤU HÌNH</x:v>
      </x:c>
      <x:c r="B3" s="204" t="str">
        <x:v>GIÁ TRỊ</x:v>
      </x:c>
      <x:c r="C3" s="205"/>
      <x:c r="D3" s="203" t="str">
        <x:v>CHỈ SỐ CHƯƠNG TRÌNH</x:v>
      </x:c>
      <x:c r="E3" s="206"/>
      <x:c r="F3" s="206"/>
      <x:c r="G3" s="206"/>
      <x:c r="H3" s="206"/>
      <x:c r="I3" s="206"/>
      <x:c r="J3" s="206"/>
      <x:c r="K3" s="206"/>
      <x:c r="L3" s="206"/>
      <x:c r="M3" s="206"/>
      <x:c r="N3" s="204"/>
    </x:row>
    <x:row r="4">
      <x:c r="A4" s="155" t="str">
        <x:v>Ngày bắt đầu</x:v>
      </x:c>
      <x:c r="B4" s="156" t="n">
        <x:v>46230</x:v>
      </x:c>
      <x:c r="C4" s="205"/>
      <x:c r="D4" s="207" t="str">
        <x:v>Tổng giờ kế hoạch</x:v>
      </x:c>
      <x:c r="E4" s="207"/>
      <x:c r="F4" s="207"/>
      <x:c r="G4" s="207" t="str">
        <x:v>Giờ đã thực hiện</x:v>
      </x:c>
      <x:c r="H4" s="207"/>
      <x:c r="I4" s="207"/>
      <x:c r="J4" s="207" t="str">
        <x:v>Tiến độ công việc</x:v>
      </x:c>
      <x:c r="K4" s="207"/>
      <x:c r="L4" s="207"/>
      <x:c r="M4" s="207" t="str">
        <x:v>Tuần đạt</x:v>
      </x:c>
      <x:c r="N4" s="207"/>
    </x:row>
    <x:row r="5">
      <x:c r="A5" s="158" t="str">
        <x:v>Giờ chuẩn mỗi tuần</x:v>
      </x:c>
      <x:c r="B5" s="159" t="n">
        <x:v>15</x:v>
      </x:c>
      <x:c r="C5" s="205"/>
      <x:c r="D5" s="208" t="n">
        <x:f>'01 Tổng quan'!$B$5*'01 Tổng quan'!$B$7</x:f>
        <x:v>585</x:v>
      </x:c>
      <x:c r="E5" s="209"/>
      <x:c r="F5" s="210"/>
      <x:c r="G5" s="211" t="n">
        <x:f>SUM('02 Lộ trình 39 tuần'!$J$5:$J$43)</x:f>
        <x:v>0</x:v>
      </x:c>
      <x:c r="H5" s="212"/>
      <x:c r="I5" s="213"/>
      <x:c r="J5" s="214" t="n">
        <x:f>AVERAGE('02 Lộ trình 39 tuần'!$K$5:$K$43)</x:f>
        <x:v>0</x:v>
      </x:c>
      <x:c r="K5" s="215"/>
      <x:c r="L5" s="216"/>
      <x:c r="M5" s="217" t="n">
        <x:f>COUNTIF('02 Lộ trình 39 tuần'!$N$5:$N$43,"Đạt")</x:f>
        <x:v>0</x:v>
      </x:c>
      <x:c r="N5" s="218"/>
    </x:row>
    <x:row r="6">
      <x:c r="A6" s="158" t="str">
        <x:v>Ngưỡng đạt tuần</x:v>
      </x:c>
      <x:c r="B6" s="159" t="n">
        <x:v>80</x:v>
      </x:c>
      <x:c r="C6" s="205"/>
      <x:c r="D6" s="219"/>
      <x:c r="E6" s="220"/>
      <x:c r="F6" s="221"/>
      <x:c r="G6" s="222"/>
      <x:c r="H6" s="223"/>
      <x:c r="I6" s="224"/>
      <x:c r="J6" s="225"/>
      <x:c r="K6" s="226"/>
      <x:c r="L6" s="227"/>
      <x:c r="M6" s="228"/>
      <x:c r="N6" s="229"/>
    </x:row>
    <x:row r="7">
      <x:c r="A7" s="158" t="str">
        <x:v>Tổng số tuần</x:v>
      </x:c>
      <x:c r="B7" s="158" t="n">
        <x:v>39</x:v>
      </x:c>
      <x:c r="C7" s="205"/>
      <x:c r="D7" s="230"/>
      <x:c r="E7" s="231"/>
      <x:c r="F7" s="232"/>
      <x:c r="G7" s="233"/>
      <x:c r="H7" s="234"/>
      <x:c r="I7" s="235"/>
      <x:c r="J7" s="236"/>
      <x:c r="K7" s="237"/>
      <x:c r="L7" s="238"/>
      <x:c r="M7" s="239"/>
      <x:c r="N7" s="240"/>
    </x:row>
    <x:row r="8">
      <x:c r="A8" s="205"/>
      <x:c r="B8" s="205"/>
      <x:c r="C8" s="205"/>
      <x:c r="D8" s="205"/>
      <x:c r="E8" s="205"/>
      <x:c r="F8" s="205"/>
      <x:c r="G8" s="205"/>
      <x:c r="H8" s="205"/>
      <x:c r="I8" s="205"/>
      <x:c r="J8" s="205"/>
      <x:c r="K8" s="205"/>
      <x:c r="L8" s="205"/>
      <x:c r="M8" s="205"/>
      <x:c r="N8" s="205"/>
    </x:row>
    <x:row r="9">
      <x:c r="A9" s="205"/>
      <x:c r="B9" s="205"/>
      <x:c r="C9" s="205"/>
      <x:c r="D9" s="205"/>
      <x:c r="E9" s="205"/>
      <x:c r="F9" s="205"/>
      <x:c r="G9" s="205"/>
      <x:c r="H9" s="205"/>
      <x:c r="I9" s="205"/>
      <x:c r="J9" s="205"/>
      <x:c r="K9" s="205"/>
      <x:c r="L9" s="205"/>
      <x:c r="M9" s="205"/>
      <x:c r="N9" s="205"/>
    </x:row>
    <x:row r="10">
      <x:c r="A10" s="203" t="str">
        <x:v>Giai đoạn</x:v>
      </x:c>
      <x:c r="B10" s="206" t="str">
        <x:v>Số tuần</x:v>
      </x:c>
      <x:c r="C10" s="206" t="str">
        <x:v>Tiến độ</x:v>
      </x:c>
      <x:c r="D10" s="204" t="str">
        <x:v>Trạng thái</x:v>
      </x:c>
      <x:c r="E10" s="205"/>
      <x:c r="F10" s="205"/>
      <x:c r="G10" s="205"/>
      <x:c r="H10" s="205"/>
      <x:c r="I10" s="205"/>
      <x:c r="J10" s="205"/>
      <x:c r="K10" s="205"/>
      <x:c r="L10" s="205"/>
      <x:c r="M10" s="205"/>
      <x:c r="N10" s="205"/>
    </x:row>
    <x:row r="11">
      <x:c r="A11" s="155" t="str">
        <x:v>Nền tảng Java</x:v>
      </x:c>
      <x:c r="B11" s="155" t="n">
        <x:v>4</x:v>
      </x:c>
      <x:c r="C11" s="193" t="n">
        <x:f>IFERROR(AVERAGEIF('02 Lộ trình 39 tuần'!$B$5:$B$43,A11,'02 Lộ trình 39 tuần'!$K$5:$K$43),0)</x:f>
        <x:v>0</x:v>
      </x:c>
      <x:c r="D11" s="155" t="str">
        <x:f>IF(C11&gt;=1,"Hoàn thành",IF(C11&gt;0,"Đang làm","Chưa bắt đầu"))</x:f>
        <x:v>Chưa bắt đầu</x:v>
      </x:c>
      <x:c r="E11" s="205"/>
      <x:c r="F11" s="205"/>
      <x:c r="G11" s="205"/>
      <x:c r="H11" s="205"/>
      <x:c r="I11" s="205"/>
      <x:c r="J11" s="205"/>
      <x:c r="K11" s="205"/>
      <x:c r="L11" s="205"/>
      <x:c r="M11" s="205"/>
      <x:c r="N11" s="205"/>
    </x:row>
    <x:row r="12">
      <x:c r="A12" s="158" t="str">
        <x:v>Spring, dữ liệu và kiểm thử</x:v>
      </x:c>
      <x:c r="B12" s="158" t="n">
        <x:v>7</x:v>
      </x:c>
      <x:c r="C12" s="194" t="n">
        <x:f>IFERROR(AVERAGEIF('02 Lộ trình 39 tuần'!$B$5:$B$43,A12,'02 Lộ trình 39 tuần'!$K$5:$K$43),0)</x:f>
        <x:v>0</x:v>
      </x:c>
      <x:c r="D12" s="158" t="str">
        <x:f>IF(C12&gt;=1,"Hoàn thành",IF(C12&gt;0,"Đang làm","Chưa bắt đầu"))</x:f>
        <x:v>Chưa bắt đầu</x:v>
      </x:c>
      <x:c r="E12" s="205"/>
      <x:c r="F12" s="205"/>
      <x:c r="G12" s="205"/>
      <x:c r="H12" s="205"/>
      <x:c r="I12" s="205"/>
      <x:c r="J12" s="205"/>
      <x:c r="K12" s="205"/>
      <x:c r="L12" s="205"/>
      <x:c r="M12" s="205"/>
      <x:c r="N12" s="205"/>
    </x:row>
    <x:row r="13">
      <x:c r="A13" s="158" t="str">
        <x:v>Hệ thống phân tán</x:v>
      </x:c>
      <x:c r="B13" s="158" t="n">
        <x:v>6</x:v>
      </x:c>
      <x:c r="C13" s="194" t="n">
        <x:f>IFERROR(AVERAGEIF('02 Lộ trình 39 tuần'!$B$5:$B$43,A13,'02 Lộ trình 39 tuần'!$K$5:$K$43),0)</x:f>
        <x:v>0</x:v>
      </x:c>
      <x:c r="D13" s="158" t="str">
        <x:f>IF(C13&gt;=1,"Hoàn thành",IF(C13&gt;0,"Đang làm","Chưa bắt đầu"))</x:f>
        <x:v>Chưa bắt đầu</x:v>
      </x:c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</x:row>
    <x:row r="14">
      <x:c r="A14" s="158" t="str">
        <x:v>Dự án ngân hàng số</x:v>
      </x:c>
      <x:c r="B14" s="158" t="n">
        <x:v>9</x:v>
      </x:c>
      <x:c r="C14" s="194" t="n">
        <x:f>IFERROR(AVERAGEIF('02 Lộ trình 39 tuần'!$B$5:$B$43,A14,'02 Lộ trình 39 tuần'!$K$5:$K$43),0)</x:f>
        <x:v>0</x:v>
      </x:c>
      <x:c r="D14" s="158" t="str">
        <x:f>IF(C14&gt;=1,"Hoàn thành",IF(C14&gt;0,"Đang làm","Chưa bắt đầu"))</x:f>
        <x:v>Chưa bắt đầu</x:v>
      </x:c>
      <x:c r="E14" s="205"/>
      <x:c r="F14" s="205"/>
      <x:c r="G14" s="205"/>
      <x:c r="H14" s="205"/>
      <x:c r="I14" s="205"/>
      <x:c r="J14" s="205"/>
      <x:c r="K14" s="205"/>
      <x:c r="L14" s="205"/>
      <x:c r="M14" s="205"/>
      <x:c r="N14" s="205"/>
    </x:row>
    <x:row r="15">
      <x:c r="A15" s="158" t="str">
        <x:v>Dự án đầu tư</x:v>
      </x:c>
      <x:c r="B15" s="158" t="n">
        <x:v>6</x:v>
      </x:c>
      <x:c r="C15" s="194" t="n">
        <x:f>IFERROR(AVERAGEIF('02 Lộ trình 39 tuần'!$B$5:$B$43,A15,'02 Lộ trình 39 tuần'!$K$5:$K$43),0)</x:f>
        <x:v>0</x:v>
      </x:c>
      <x:c r="D15" s="158" t="str">
        <x:f>IF(C15&gt;=1,"Hoàn thành",IF(C15&gt;0,"Đang làm","Chưa bắt đầu"))</x:f>
        <x:v>Chưa bắt đầu</x:v>
      </x:c>
      <x:c r="E15" s="205"/>
      <x:c r="F15" s="205"/>
      <x:c r="G15" s="205"/>
      <x:c r="H15" s="205"/>
      <x:c r="I15" s="205"/>
      <x:c r="J15" s="205"/>
      <x:c r="K15" s="205"/>
      <x:c r="L15" s="205"/>
      <x:c r="M15" s="205"/>
      <x:c r="N15" s="205"/>
    </x:row>
    <x:row r="16">
      <x:c r="A16" s="158" t="str">
        <x:v>Phỏng vấn và hồ sơ</x:v>
      </x:c>
      <x:c r="B16" s="158" t="n">
        <x:v>7</x:v>
      </x:c>
      <x:c r="C16" s="194" t="n">
        <x:f>IFERROR(AVERAGEIF('02 Lộ trình 39 tuần'!$B$5:$B$43,A16,'02 Lộ trình 39 tuần'!$K$5:$K$43),0)</x:f>
        <x:v>0</x:v>
      </x:c>
      <x:c r="D16" s="158" t="str">
        <x:f>IF(C16&gt;=1,"Hoàn thành",IF(C16&gt;0,"Đang làm","Chưa bắt đầu"))</x:f>
        <x:v>Chưa bắt đầu</x:v>
      </x:c>
      <x:c r="E16" s="205"/>
      <x:c r="F16" s="205"/>
      <x:c r="G16" s="205"/>
      <x:c r="H16" s="205"/>
      <x:c r="I16" s="205"/>
      <x:c r="J16" s="205"/>
      <x:c r="K16" s="205"/>
      <x:c r="L16" s="205"/>
      <x:c r="M16" s="205"/>
      <x:c r="N16" s="205"/>
    </x:row>
    <x:row r="17">
      <x:c r="A17" s="205"/>
      <x:c r="B17" s="205"/>
      <x:c r="C17" s="205"/>
      <x:c r="D17" s="205"/>
      <x:c r="E17" s="205"/>
      <x:c r="F17" s="205"/>
      <x:c r="G17" s="205"/>
      <x:c r="H17" s="205"/>
      <x:c r="I17" s="205"/>
      <x:c r="J17" s="205"/>
      <x:c r="K17" s="205"/>
      <x:c r="L17" s="205"/>
      <x:c r="M17" s="205"/>
      <x:c r="N17" s="205"/>
    </x:row>
    <x:row r="18">
      <x:c r="A18" s="205"/>
      <x:c r="B18" s="205"/>
      <x:c r="C18" s="205"/>
      <x:c r="D18" s="205"/>
      <x:c r="E18" s="205"/>
      <x:c r="F18" s="205"/>
      <x:c r="G18" s="205"/>
      <x:c r="H18" s="205"/>
      <x:c r="I18" s="205"/>
      <x:c r="J18" s="205"/>
      <x:c r="K18" s="205"/>
      <x:c r="L18" s="205"/>
      <x:c r="M18" s="205"/>
      <x:c r="N18" s="205"/>
    </x:row>
    <x:row r="19">
      <x:c r="A19" s="205"/>
      <x:c r="B19" s="205"/>
      <x:c r="C19" s="205"/>
      <x:c r="D19" s="205"/>
      <x:c r="E19" s="205"/>
      <x:c r="F19" s="205"/>
      <x:c r="G19" s="205"/>
      <x:c r="H19" s="205"/>
      <x:c r="I19" s="205"/>
      <x:c r="J19" s="205"/>
      <x:c r="K19" s="205"/>
      <x:c r="L19" s="205"/>
      <x:c r="M19" s="205"/>
      <x:c r="N19" s="205"/>
    </x:row>
    <x:row r="20">
      <x:c r="A20" s="203" t="str">
        <x:v>CỔNG SẴN SÀNG ỨNG TUYỂN</x:v>
      </x:c>
      <x:c r="B20" s="206"/>
      <x:c r="C20" s="206"/>
      <x:c r="D20" s="206"/>
      <x:c r="E20" s="206"/>
      <x:c r="F20" s="204"/>
      <x:c r="G20" s="205"/>
      <x:c r="H20" s="205"/>
      <x:c r="I20" s="205"/>
      <x:c r="J20" s="205"/>
      <x:c r="K20" s="205"/>
      <x:c r="L20" s="205"/>
      <x:c r="M20" s="205"/>
      <x:c r="N20" s="205"/>
    </x:row>
    <x:row r="21">
      <x:c r="A21" s="203" t="str">
        <x:v>Tiêu chí</x:v>
      </x:c>
      <x:c r="B21" s="206" t="str">
        <x:v>Nguồn đo</x:v>
      </x:c>
      <x:c r="C21" s="206" t="str">
        <x:v>Mục tiêu</x:v>
      </x:c>
      <x:c r="D21" s="206" t="str">
        <x:v>Hiện tại</x:v>
      </x:c>
      <x:c r="E21" s="206" t="str">
        <x:v>Đạt?</x:v>
      </x:c>
      <x:c r="F21" s="204" t="str">
        <x:v>Ghi chú</x:v>
      </x:c>
      <x:c r="G21" s="205"/>
      <x:c r="H21" s="205"/>
      <x:c r="I21" s="205"/>
      <x:c r="J21" s="205"/>
      <x:c r="K21" s="205"/>
      <x:c r="L21" s="205"/>
      <x:c r="M21" s="205"/>
      <x:c r="N21" s="205"/>
    </x:row>
    <x:row r="22">
      <x:c r="A22" s="155" t="str">
        <x:v>Hoàn thành 39 tuần</x:v>
      </x:c>
      <x:c r="B22" s="155" t="str">
        <x:v>Lộ trình</x:v>
      </x:c>
      <x:c r="C22" s="155" t="str">
        <x:v>100%</x:v>
      </x:c>
      <x:c r="D22" s="193" t="n">
        <x:f>AVERAGE('02 Lộ trình 39 tuần'!$K$5:$K$43)</x:f>
        <x:v>0</x:v>
      </x:c>
      <x:c r="E22" s="155" t="str">
        <x:f>IF(D22&gt;=1,"Đạt","Chưa đạt")</x:f>
        <x:v>Chưa đạt</x:v>
      </x:c>
      <x:c r="F22" s="155" t="str">
        <x:v>Không được bỏ qua tuần bắt buộc</x:v>
      </x:c>
      <x:c r="G22" s="205"/>
      <x:c r="H22" s="205"/>
      <x:c r="I22" s="205"/>
      <x:c r="J22" s="205"/>
      <x:c r="K22" s="205"/>
      <x:c r="L22" s="205"/>
      <x:c r="M22" s="205"/>
      <x:c r="N22" s="205"/>
    </x:row>
    <x:row r="23">
      <x:c r="A23" s="158" t="str">
        <x:v>Điểm tổng chương trình</x:v>
      </x:c>
      <x:c r="B23" s="158" t="str">
        <x:v>Lộ trình</x:v>
      </x:c>
      <x:c r="C23" s="158" t="str">
        <x:v>≥80</x:v>
      </x:c>
      <x:c r="D23" s="195" t="n">
        <x:f>IFERROR(SUMPRODUCT('02 Lộ trình 39 tuần'!$M$5:$M$43,'02 Lộ trình 39 tuần'!$I$5:$I$43)/SUM('02 Lộ trình 39 tuần'!$I$5:$I$43),0)</x:f>
        <x:v>0</x:v>
      </x:c>
      <x:c r="E23" s="158" t="str">
        <x:f>IF(D23&gt;=80,"Đạt","Chưa đạt")</x:f>
        <x:v>Chưa đạt</x:v>
      </x:c>
      <x:c r="F23" s="158" t="str">
        <x:v>Trọng số theo giờ kế hoạch</x:v>
      </x:c>
      <x:c r="G23" s="205"/>
      <x:c r="H23" s="205"/>
      <x:c r="I23" s="205"/>
      <x:c r="J23" s="205"/>
      <x:c r="K23" s="205"/>
      <x:c r="L23" s="205"/>
      <x:c r="M23" s="205"/>
      <x:c r="N23" s="205"/>
    </x:row>
    <x:row r="24">
      <x:c r="A24" s="158" t="str">
        <x:v>Dự án ngân hàng</x:v>
      </x:c>
      <x:c r="B24" s="158" t="str">
        <x:v>Dự án 1</x:v>
      </x:c>
      <x:c r="C24" s="158" t="str">
        <x:v>100%</x:v>
      </x:c>
      <x:c r="D24" s="194" t="n">
        <x:f>AVERAGE('05 Dự án ngân hàng'!$G$5:$G$13)</x:f>
        <x:v>0</x:v>
      </x:c>
      <x:c r="E24" s="158" t="str">
        <x:f>IF(D24&gt;=1,"Đạt","Chưa đạt")</x:f>
        <x:v>Chưa đạt</x:v>
      </x:c>
      <x:c r="F24" s="158" t="str">
        <x:v>Đã triển khai và demo</x:v>
      </x:c>
      <x:c r="G24" s="205"/>
      <x:c r="H24" s="205"/>
      <x:c r="I24" s="205"/>
      <x:c r="J24" s="205"/>
      <x:c r="K24" s="205"/>
      <x:c r="L24" s="205"/>
      <x:c r="M24" s="205"/>
      <x:c r="N24" s="205"/>
    </x:row>
    <x:row r="25">
      <x:c r="A25" s="158" t="str">
        <x:v>Dự án đầu tư</x:v>
      </x:c>
      <x:c r="B25" s="158" t="str">
        <x:v>Dự án 2</x:v>
      </x:c>
      <x:c r="C25" s="158" t="str">
        <x:v>100%</x:v>
      </x:c>
      <x:c r="D25" s="194" t="n">
        <x:f>AVERAGE('06 Dự án đầu tư'!$G$5:$G$10)</x:f>
        <x:v>0</x:v>
      </x:c>
      <x:c r="E25" s="158" t="str">
        <x:f>IF(D25&gt;=1,"Đạt","Chưa đạt")</x:f>
        <x:v>Chưa đạt</x:v>
      </x:c>
      <x:c r="F25" s="158" t="str">
        <x:v>Đã triển khai và demo</x:v>
      </x:c>
      <x:c r="G25" s="205"/>
      <x:c r="H25" s="205"/>
      <x:c r="I25" s="205"/>
      <x:c r="J25" s="205"/>
      <x:c r="K25" s="205"/>
      <x:c r="L25" s="205"/>
      <x:c r="M25" s="205"/>
      <x:c r="N25" s="205"/>
    </x:row>
    <x:row r="26">
      <x:c r="A26" s="158" t="str">
        <x:v>Phỏng vấn giả lập</x:v>
      </x:c>
      <x:c r="B26" s="158" t="str">
        <x:v>Phỏng vấn</x:v>
      </x:c>
      <x:c r="C26" s="158" t="str">
        <x:v>≥3</x:v>
      </x:c>
      <x:c r="D26" s="158" t="n">
        <x:f>COUNTIF('07 Phỏng vấn'!$H$5:$H$20,"Hoàn thành")</x:f>
        <x:v>0</x:v>
      </x:c>
      <x:c r="E26" s="158" t="str">
        <x:f>IF(D26&gt;=3,"Đạt","Chưa đạt")</x:f>
        <x:v>Chưa đạt</x:v>
      </x:c>
      <x:c r="F26" s="158" t="str">
        <x:v>Có ít nhất một vòng tiếng Anh</x:v>
      </x:c>
      <x:c r="G26" s="205"/>
      <x:c r="H26" s="205"/>
      <x:c r="I26" s="205"/>
      <x:c r="J26" s="205"/>
      <x:c r="K26" s="205"/>
      <x:c r="L26" s="205"/>
      <x:c r="M26" s="205"/>
      <x:c r="N26" s="205"/>
    </x:row>
    <x:row r="27">
      <x:c r="A27" s="158" t="str">
        <x:v>Kết luận</x:v>
      </x:c>
      <x:c r="B27" s="158" t="str">
        <x:v>Tự động</x:v>
      </x:c>
      <x:c r="C27" s="158" t="str">
        <x:v>READY</x:v>
      </x:c>
      <x:c r="D27" s="158" t="str">
        <x:f>IF(COUNTIF(E22:E26,"Đạt")=5,"READY","NOT READY")</x:f>
        <x:v>NOT READY</x:v>
      </x:c>
      <x:c r="E27" s="158" t="str">
        <x:f>IF(D27="READY","Đạt","Chưa đạt")</x:f>
        <x:v>Chưa đạt</x:v>
      </x:c>
      <x:c r="F27" s="158" t="str">
        <x:v>Chỉ ứng tuyển khi toàn bộ tiêu chí đạt</x:v>
      </x:c>
      <x:c r="G27" s="205"/>
      <x:c r="H27" s="205"/>
      <x:c r="I27" s="205"/>
      <x:c r="J27" s="205"/>
      <x:c r="K27" s="205"/>
      <x:c r="L27" s="205"/>
      <x:c r="M27" s="205"/>
      <x:c r="N27" s="205"/>
    </x:row>
    <x:row r="28">
      <x:c r="A28" s="205"/>
      <x:c r="B28" s="205"/>
      <x:c r="C28" s="205"/>
      <x:c r="D28" s="205"/>
      <x:c r="E28" s="205"/>
      <x:c r="F28" s="205"/>
      <x:c r="G28" s="205"/>
      <x:c r="H28" s="205"/>
      <x:c r="I28" s="205"/>
      <x:c r="J28" s="205"/>
      <x:c r="K28" s="205"/>
      <x:c r="L28" s="205"/>
      <x:c r="M28" s="205"/>
      <x:c r="N28" s="205"/>
    </x:row>
    <x:row r="29" ht="26" customHeight="1">
      <x:c r="A29" s="414" t="str">
        <x:v>BẮT ĐẦU HỌC Ở ĐÂU?</x:v>
      </x:c>
      <x:c r="B29" s="414"/>
      <x:c r="C29" s="414"/>
      <x:c r="D29" s="414"/>
      <x:c r="E29" s="414"/>
      <x:c r="F29" s="414"/>
      <x:c r="G29" s="414"/>
      <x:c r="H29" s="414"/>
      <x:c r="I29" s="414"/>
      <x:c r="J29" s="414"/>
      <x:c r="K29" s="414"/>
      <x:c r="L29" s="414"/>
      <x:c r="M29" s="414"/>
      <x:c r="N29" s="414"/>
    </x:row>
    <x:row r="30" ht="36" customHeight="1">
      <x:c r="A30" s="415" t="str">
        <x:v>Bước 1</x:v>
      </x:c>
      <x:c r="B30" s="416" t="str">
        <x:v>Mở trang 10 Học chi tiết</x:v>
      </x:c>
      <x:c r="C30" s="416" t="str"/>
      <x:c r="D30" s="416" t="str">
        <x:v>Bước 2</x:v>
      </x:c>
      <x:c r="E30" s="416" t="str">
        <x:v>Lọc cột Tuần theo tuần hiện tại</x:v>
      </x:c>
      <x:c r="F30" s="416" t="str"/>
      <x:c r="G30" s="416" t="str">
        <x:v>Bước 3</x:v>
      </x:c>
      <x:c r="H30" s="416" t="str">
        <x:v>Làm theo Thứ tự từ 1 trở đi</x:v>
      </x:c>
      <x:c r="I30" s="416" t="str"/>
      <x:c r="J30" s="416" t="str">
        <x:v>Bước 4</x:v>
      </x:c>
      <x:c r="K30" s="416" t="str">
        <x:v>Lưu đầu ra rồi cập nhật trang 03/04</x:v>
      </x:c>
      <x:c r="L30" s="416" t="str"/>
      <x:c r="M30" s="416" t="str"/>
      <x:c r="N30" s="417" t="str"/>
    </x:row>
    <x:row r="31" ht="36" customHeight="1">
      <x:c r="A31" s="418" t="str">
        <x:v>Không làm</x:v>
      </x:c>
      <x:c r="B31" s="419" t="str">
        <x:v>Không đọc toàn bộ website</x:v>
      </x:c>
      <x:c r="C31" s="419" t="str"/>
      <x:c r="D31" s="419" t="str">
        <x:v>Không làm</x:v>
      </x:c>
      <x:c r="E31" s="419" t="str">
        <x:v>Không mở thêm tài liệu ngoài danh sách khi đang bí</x:v>
      </x:c>
      <x:c r="F31" s="419" t="str"/>
      <x:c r="G31" s="419" t="str">
        <x:v>Khi bí</x:v>
      </x:c>
      <x:c r="H31" s="419" t="str">
        <x:v>Thu nhỏ thành ví dụ chạy được trong 15–30 phút</x:v>
      </x:c>
      <x:c r="I31" s="419" t="str"/>
      <x:c r="J31" s="419" t="str">
        <x:v>Sau đó</x:v>
      </x:c>
      <x:c r="K31" s="419" t="str">
        <x:v>Ghi câu hỏi cụ thể và đánh dấu Cần xem lại</x:v>
      </x:c>
      <x:c r="L31" s="419" t="str"/>
      <x:c r="M31" s="419" t="str"/>
      <x:c r="N31" s="420" t="str"/>
    </x:row>
    <x:row r="32" ht="36" customHeight="1">
      <x:c r="A32" s="421" t="str">
        <x:v>Mục tiêu</x:v>
      </x:c>
      <x:c r="B32" s="422" t="str">
        <x:v>Mỗi bài học phải có đầu ra</x:v>
      </x:c>
      <x:c r="C32" s="422" t="str"/>
      <x:c r="D32" s="422" t="str">
        <x:v>Tiến độ</x:v>
      </x:c>
      <x:c r="E32" s="422" t="str">
        <x:v>Đã học không đồng nghĩa đã đạt tuần</x:v>
      </x:c>
      <x:c r="F32" s="422" t="str"/>
      <x:c r="G32" s="422" t="str">
        <x:v>Nghiệm thu</x:v>
      </x:c>
      <x:c r="H32" s="422" t="str">
        <x:v>Dùng trang 04 Checklist tuần</x:v>
      </x:c>
      <x:c r="I32" s="422" t="str"/>
      <x:c r="J32" s="422" t="str">
        <x:v>Nhịp độ</x:v>
      </x:c>
      <x:c r="K32" s="422" t="str">
        <x:v>15 giờ/tuần; giữ đều quan trọng hơn học bù</x:v>
      </x:c>
      <x:c r="L32" s="422" t="str"/>
      <x:c r="M32" s="422" t="str"/>
      <x:c r="N32" s="423" t="str"/>
    </x:row>
  </x:sheetData>
  <x:mergeCells>
    <x:mergeCell ref="A1:N1"/>
    <x:mergeCell ref="A2:N2"/>
    <x:mergeCell ref="D3:N3"/>
    <x:mergeCell ref="D4:F4"/>
    <x:mergeCell ref="D5:F7"/>
    <x:mergeCell ref="G4:I4"/>
    <x:mergeCell ref="G5:I7"/>
    <x:mergeCell ref="J4:L4"/>
    <x:mergeCell ref="J5:L7"/>
    <x:mergeCell ref="M4:N4"/>
    <x:mergeCell ref="M5:N7"/>
    <x:mergeCell ref="A20:F20"/>
    <x:mergeCell ref="A29:N29"/>
    <x:mergeCell ref="B30:C30"/>
    <x:mergeCell ref="E30:F30"/>
    <x:mergeCell ref="H30:I30"/>
    <x:mergeCell ref="K30:N30"/>
    <x:mergeCell ref="B31:C31"/>
    <x:mergeCell ref="E31:F31"/>
    <x:mergeCell ref="H31:I31"/>
    <x:mergeCell ref="K31:N31"/>
    <x:mergeCell ref="B32:C32"/>
    <x:mergeCell ref="E32:F32"/>
    <x:mergeCell ref="H32:I32"/>
    <x:mergeCell ref="K32:N32"/>
  </x:mergeCells>
  <x:conditionalFormatting sqref="D11:D16">
    <x:cfRule type="containsText" dxfId="0" priority="1" operator="containsText" text="Hoàn thành"/>
    <x:cfRule type="containsText" dxfId="1" priority="2" operator="containsText" text="Đạt"/>
    <x:cfRule type="containsText" dxfId="2" priority="3" operator="containsText" text="Đang làm"/>
    <x:cfRule type="containsText" dxfId="3" priority="4" operator="containsText" text="Cần bổ sung"/>
    <x:cfRule type="containsText" dxfId="4" priority="5" operator="containsText" text="Không đạt"/>
  </x:conditionalFormatting>
  <x:conditionalFormatting sqref="E22:E27">
    <x:cfRule type="containsText" dxfId="5" priority="6" operator="containsText" text="Hoàn thành"/>
    <x:cfRule type="containsText" dxfId="6" priority="7" operator="containsText" text="Đạt"/>
    <x:cfRule type="containsText" dxfId="7" priority="8" operator="containsText" text="Đang làm"/>
    <x:cfRule type="containsText" dxfId="8" priority="9" operator="containsText" text="Cần bổ sung"/>
    <x:cfRule type="containsText" dxfId="9" priority="10" operator="containsText" text="Không đạt"/>
  </x:conditionalFormatting>
  <x:dataValidations count="2">
    <x:dataValidation type="date" operator="greaterThanOrEqual" sqref="B4">
      <x:formula1>2026-01-01</x:formula1>
    </x:dataValidation>
    <x:dataValidation type="whole" operator="between" sqref="B5:B7">
      <x:formula1>1</x:formula1>
      <x:formula2>100</x:formula2>
    </x:dataValidation>
  </x:dataValidations>
  <x:pageMargins left="0.7" right="0.7" top="0.75" bottom="0.75" header="0.3" footer="0.3"/>
  <x:drawing xmlns:r="http://schemas.openxmlformats.org/officeDocument/2006/relationships" r:id="Rbc6ffede101c45b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0" hidden="0" customWidth="1"/>
    <x:col min="4" max="4" width="42" hidden="0" customWidth="1"/>
    <x:col min="5" max="5" width="42" hidden="0" customWidth="1"/>
    <x:col min="6" max="6" width="42" hidden="0" customWidth="1"/>
    <x:col min="7" max="7" width="12" hidden="0" customWidth="1"/>
    <x:col min="8" max="8" width="12" hidden="0" customWidth="1"/>
    <x:col min="9" max="9" width="9" hidden="0" customWidth="1"/>
    <x:col min="10" max="10" width="9" hidden="0" customWidth="1"/>
    <x:col min="11" max="11" width="12" hidden="0" customWidth="1"/>
    <x:col min="12" max="12" width="12" hidden="0" customWidth="1"/>
    <x:col min="13" max="13" width="9" hidden="0" customWidth="1"/>
    <x:col min="14" max="14" width="14" hidden="0" customWidth="1"/>
    <x:col min="15" max="15" width="24" hidden="0" customWidth="1"/>
  </x:cols>
  <x:sheetData>
    <x:row r="1" ht="30" customHeight="1">
      <x:c r="A1" s="246" t="str">
        <x:v>LỘ TRÌNH 39 TUẦN</x:v>
      </x:c>
      <x:c r="B1" s="200"/>
      <x:c r="C1" s="200"/>
      <x:c r="D1" s="200"/>
      <x:c r="E1" s="200"/>
      <x:c r="F1" s="200"/>
      <x:c r="G1" s="200"/>
      <x:c r="H1" s="200"/>
      <x:c r="I1" s="200"/>
      <x:c r="J1" s="200"/>
      <x:c r="K1" s="200"/>
      <x:c r="L1" s="200"/>
      <x:c r="M1" s="200"/>
      <x:c r="N1" s="200"/>
      <x:c r="O1" s="200"/>
    </x:row>
    <x:row r="2" ht="30" customHeight="1">
      <x:c r="A2" s="413" t="str">
        <x:v>Muốn bắt đầu học: mở trang 10 Học chi tiết, lọc đúng Tuần và làm theo Thứ tự. Trang này là bản đồ 39 tuần và cổng nghiệm thu.</x:v>
      </x:c>
      <x:c r="B2" s="413"/>
      <x:c r="C2" s="413"/>
      <x:c r="D2" s="413"/>
      <x:c r="E2" s="413"/>
      <x:c r="F2" s="413"/>
      <x:c r="G2" s="413"/>
      <x:c r="H2" s="413"/>
      <x:c r="I2" s="413"/>
      <x:c r="J2" s="413"/>
      <x:c r="K2" s="413"/>
      <x:c r="L2" s="413"/>
      <x:c r="M2" s="413"/>
      <x:c r="N2" s="413"/>
      <x:c r="O2" s="413"/>
    </x:row>
    <x:row r="3">
      <x:c r="A3" s="205"/>
      <x:c r="B3" s="205"/>
      <x:c r="C3" s="205"/>
      <x:c r="D3" s="205"/>
      <x:c r="E3" s="205"/>
      <x:c r="F3" s="205"/>
      <x:c r="G3" s="205"/>
      <x:c r="H3" s="205"/>
      <x:c r="I3" s="205"/>
      <x:c r="J3" s="205"/>
      <x:c r="K3" s="205"/>
      <x:c r="L3" s="205"/>
      <x:c r="M3" s="205"/>
      <x:c r="N3" s="205"/>
      <x:c r="O3" s="205"/>
    </x:row>
    <x:row r="4" ht="38" customHeight="1">
      <x:c r="A4" s="203" t="str">
        <x:v>Tuần</x:v>
      </x:c>
      <x:c r="B4" s="206" t="str">
        <x:v>Giai đoạn</x:v>
      </x:c>
      <x:c r="C4" s="206" t="str">
        <x:v>Chủ đề</x:v>
      </x:c>
      <x:c r="D4" s="206" t="str">
        <x:v>Học gì</x:v>
      </x:c>
      <x:c r="E4" s="206" t="str">
        <x:v>Mục tiêu đầu ra</x:v>
      </x:c>
      <x:c r="F4" s="206" t="str">
        <x:v>Sản phẩm bàn giao</x:v>
      </x:c>
      <x:c r="G4" s="206" t="str">
        <x:v>Bắt đầu</x:v>
      </x:c>
      <x:c r="H4" s="206" t="str">
        <x:v>Kết thúc</x:v>
      </x:c>
      <x:c r="I4" s="206" t="str">
        <x:v>Giờ KH</x:v>
      </x:c>
      <x:c r="J4" s="206" t="str">
        <x:v>Giờ TT</x:v>
      </x:c>
      <x:c r="K4" s="206" t="str">
        <x:v>Tiến độ việc</x:v>
      </x:c>
      <x:c r="L4" s="206" t="str">
        <x:v>Checklist đạt</x:v>
      </x:c>
      <x:c r="M4" s="206" t="str">
        <x:v>Điểm</x:v>
      </x:c>
      <x:c r="N4" s="206" t="str">
        <x:v>Kết luận</x:v>
      </x:c>
      <x:c r="O4" s="204" t="str">
        <x:v>Ghi chú</x:v>
      </x:c>
    </x:row>
    <x:row r="5" ht="72" customHeight="1">
      <x:c r="A5" s="155" t="n">
        <x:v>1</x:v>
      </x:c>
      <x:c r="B5" s="155" t="str">
        <x:v>Nền tảng Java</x:v>
      </x:c>
      <x:c r="C5" s="155" t="str">
        <x:v>Đánh giá đầu vào và Java hiện đại</x:v>
      </x:c>
      <x:c r="D5" s="155" t="str">
        <x:v>Record, sealed class, pattern matching, tính bất biến và cách mô hình hóa giá trị tiền</x:v>
      </x:c>
      <x:c r="E5" s="155" t="str">
        <x:v>Tạo mô hình Account–Money–Transfer bằng Java 21, có tối thiểu 10 kiểm thử nghiệp vụ</x:v>
      </x:c>
      <x:c r="F5" s="155" t="str">
        <x:v>baseline-assessment.md; mã nguồn mô hình chuyển tiền; bản ghi âm tiếng Anh 5–7 phút</x:v>
      </x:c>
      <x:c r="G5" s="241" t="n">
        <x:f>'01 Tổng quan'!$B$4+(A5-1)*7</x:f>
        <x:v>46230</x:v>
      </x:c>
      <x:c r="H5" s="241" t="n">
        <x:f>G5+6</x:f>
        <x:v>46236</x:v>
      </x:c>
      <x:c r="I5" s="242" t="n">
        <x:v>15</x:v>
      </x:c>
      <x:c r="J5" s="242" t="n">
        <x:f>SUMIF('03 Kế hoạch tuần'!$A$5:$A$277,A5,'03 Kế hoạch tuần'!$I$5:$I$277)</x:f>
        <x:v>0</x:v>
      </x:c>
      <x:c r="K5" s="193" t="n">
        <x:f>IFERROR(COUNTIFS('03 Kế hoạch tuần'!$A$5:$A$277,A5,'03 Kế hoạch tuần'!$H$5:$H$277,"Hoàn thành")/COUNTIF('03 Kế hoạch tuần'!$A$5:$A$277,A5),0)</x:f>
        <x:v>0</x:v>
      </x:c>
      <x:c r="L5" s="193" t="n">
        <x:f>IFERROR(COUNTIFS('04 Checklist tuần'!$A$5:$A$238,A5,'04 Checklist tuần'!$D$5:$D$238,"Đạt")/COUNTIF('04 Checklist tuần'!$A$5:$A$238,A5),0)</x:f>
        <x:v>0</x:v>
      </x:c>
      <x:c r="M5" s="243" t="n">
        <x:f>ROUND(K5*50+L5*30+MIN(J5/I5,1)*20,0)</x:f>
        <x:v>0</x:v>
      </x:c>
      <x:c r="N5" s="155" t="str">
        <x:f>IF(AND(M5&gt;='01 Tổng quan'!$B$6,K5=1,L5=1),"Đạt",IF(M5&gt;=65,"Cần bổ sung","Không đạt"))</x:f>
        <x:v>Không đạt</x:v>
      </x:c>
      <x:c r="O5" s="155" t="str"/>
    </x:row>
    <x:row r="6" ht="72" customHeight="1">
      <x:c r="A6" s="158" t="n">
        <x:v>2</x:v>
      </x:c>
      <x:c r="B6" s="158" t="str">
        <x:v>Nền tảng Java</x:v>
      </x:c>
      <x:c r="C6" s="158" t="str">
        <x:v>Collections, Stream và mô hình miền bất biến</x:v>
      </x:c>
      <x:c r="D6" s="158" t="str">
        <x:v>Độ phức tạp của collection, Stream pipeline, Optional, comparator và value object</x:v>
      </x:c>
      <x:c r="E6" s="158" t="str">
        <x:v>Xử lý lịch sử giao dịch, lọc–nhóm–tổng hợp và thiết kế value object bất biến</x:v>
      </x:c>
      <x:c r="F6" s="158" t="str">
        <x:v>transaction-analytics module; bảng so sánh collection; 15 kiểm thử</x:v>
      </x:c>
      <x:c r="G6" s="244" t="n">
        <x:f>'01 Tổng quan'!$B$4+(A6-1)*7</x:f>
        <x:v>46237</x:v>
      </x:c>
      <x:c r="H6" s="244" t="n">
        <x:f>G6+6</x:f>
        <x:v>46243</x:v>
      </x:c>
      <x:c r="I6" s="245" t="n">
        <x:v>15</x:v>
      </x:c>
      <x:c r="J6" s="245" t="n">
        <x:f>SUMIF('03 Kế hoạch tuần'!$A$5:$A$277,A6,'03 Kế hoạch tuần'!$I$5:$I$277)</x:f>
        <x:v>0</x:v>
      </x:c>
      <x:c r="K6" s="194" t="n">
        <x:f>IFERROR(COUNTIFS('03 Kế hoạch tuần'!$A$5:$A$277,A6,'03 Kế hoạch tuần'!$H$5:$H$277,"Hoàn thành")/COUNTIF('03 Kế hoạch tuần'!$A$5:$A$277,A6),0)</x:f>
        <x:v>0</x:v>
      </x:c>
      <x:c r="L6" s="194" t="n">
        <x:f>IFERROR(COUNTIFS('04 Checklist tuần'!$A$5:$A$238,A6,'04 Checklist tuần'!$D$5:$D$238,"Đạt")/COUNTIF('04 Checklist tuần'!$A$5:$A$238,A6),0)</x:f>
        <x:v>0</x:v>
      </x:c>
      <x:c r="M6" s="195" t="n">
        <x:f>ROUND(K6*50+L6*30+MIN(J6/I6,1)*20,0)</x:f>
        <x:v>0</x:v>
      </x:c>
      <x:c r="N6" s="158" t="str">
        <x:f>IF(AND(M6&gt;='01 Tổng quan'!$B$6,K6=1,L6=1),"Đạt",IF(M6&gt;=65,"Cần bổ sung","Không đạt"))</x:f>
        <x:v>Không đạt</x:v>
      </x:c>
      <x:c r="O6" s="158" t="str"/>
    </x:row>
    <x:row r="7" ht="72" customHeight="1">
      <x:c r="A7" s="158" t="n">
        <x:v>3</x:v>
      </x:c>
      <x:c r="B7" s="158" t="str">
        <x:v>Nền tảng Java</x:v>
      </x:c>
      <x:c r="C7" s="158" t="str">
        <x:v>Đồng thời, CompletableFuture và virtual thread</x:v>
      </x:c>
      <x:c r="D7" s="158" t="str">
        <x:v>Race condition, thread safety, executor, CompletableFuture, virtual thread và structured concurrency</x:v>
      </x:c>
      <x:c r="E7" s="158" t="str">
        <x:v>Mô phỏng 1.000 yêu cầu truy vấn số dư đồng thời và so sánh hai cách thực thi</x:v>
      </x:c>
      <x:c r="F7" s="158" t="str">
        <x:v>concurrency-lab; số liệu thời gian chạy; báo cáo race condition</x:v>
      </x:c>
      <x:c r="G7" s="244" t="n">
        <x:f>'01 Tổng quan'!$B$4+(A7-1)*7</x:f>
        <x:v>46244</x:v>
      </x:c>
      <x:c r="H7" s="244" t="n">
        <x:f>G7+6</x:f>
        <x:v>46250</x:v>
      </x:c>
      <x:c r="I7" s="245" t="n">
        <x:v>15</x:v>
      </x:c>
      <x:c r="J7" s="245" t="n">
        <x:f>SUMIF('03 Kế hoạch tuần'!$A$5:$A$277,A7,'03 Kế hoạch tuần'!$I$5:$I$277)</x:f>
        <x:v>0</x:v>
      </x:c>
      <x:c r="K7" s="194" t="n">
        <x:f>IFERROR(COUNTIFS('03 Kế hoạch tuần'!$A$5:$A$277,A7,'03 Kế hoạch tuần'!$H$5:$H$277,"Hoàn thành")/COUNTIF('03 Kế hoạch tuần'!$A$5:$A$277,A7),0)</x:f>
        <x:v>0</x:v>
      </x:c>
      <x:c r="L7" s="194" t="n">
        <x:f>IFERROR(COUNTIFS('04 Checklist tuần'!$A$5:$A$238,A7,'04 Checklist tuần'!$D$5:$D$238,"Đạt")/COUNTIF('04 Checklist tuần'!$A$5:$A$238,A7),0)</x:f>
        <x:v>0</x:v>
      </x:c>
      <x:c r="M7" s="195" t="n">
        <x:f>ROUND(K7*50+L7*30+MIN(J7/I7,1)*20,0)</x:f>
        <x:v>0</x:v>
      </x:c>
      <x:c r="N7" s="158" t="str">
        <x:f>IF(AND(M7&gt;='01 Tổng quan'!$B$6,K7=1,L7=1),"Đạt",IF(M7&gt;=65,"Cần bổ sung","Không đạt"))</x:f>
        <x:v>Không đạt</x:v>
      </x:c>
      <x:c r="O7" s="158" t="str"/>
    </x:row>
    <x:row r="8" ht="72" customHeight="1">
      <x:c r="A8" s="158" t="n">
        <x:v>4</x:v>
      </x:c>
      <x:c r="B8" s="158" t="str">
        <x:v>Nền tảng Java</x:v>
      </x:c>
      <x:c r="C8" s="158" t="str">
        <x:v>JVM, bộ nhớ và phân tích hiệu năng</x:v>
      </x:c>
      <x:c r="D8" s="158" t="str">
        <x:v>Heap, stack, garbage collection, thread dump, Java Flight Recorder và nguyên tắc benchmark</x:v>
      </x:c>
      <x:c r="E8" s="158" t="str">
        <x:v>Tìm và sửa một vấn đề bộ nhớ hoặc CPU trong ứng dụng mẫu</x:v>
      </x:c>
      <x:c r="F8" s="158" t="str">
        <x:v>JFR recording; báo cáo trước–sau; checklist điều tra JVM</x:v>
      </x:c>
      <x:c r="G8" s="244" t="n">
        <x:f>'01 Tổng quan'!$B$4+(A8-1)*7</x:f>
        <x:v>46251</x:v>
      </x:c>
      <x:c r="H8" s="244" t="n">
        <x:f>G8+6</x:f>
        <x:v>46257</x:v>
      </x:c>
      <x:c r="I8" s="245" t="n">
        <x:v>15</x:v>
      </x:c>
      <x:c r="J8" s="245" t="n">
        <x:f>SUMIF('03 Kế hoạch tuần'!$A$5:$A$277,A8,'03 Kế hoạch tuần'!$I$5:$I$277)</x:f>
        <x:v>0</x:v>
      </x:c>
      <x:c r="K8" s="194" t="n">
        <x:f>IFERROR(COUNTIFS('03 Kế hoạch tuần'!$A$5:$A$277,A8,'03 Kế hoạch tuần'!$H$5:$H$277,"Hoàn thành")/COUNTIF('03 Kế hoạch tuần'!$A$5:$A$277,A8),0)</x:f>
        <x:v>0</x:v>
      </x:c>
      <x:c r="L8" s="194" t="n">
        <x:f>IFERROR(COUNTIFS('04 Checklist tuần'!$A$5:$A$238,A8,'04 Checklist tuần'!$D$5:$D$238,"Đạt")/COUNTIF('04 Checklist tuần'!$A$5:$A$238,A8),0)</x:f>
        <x:v>0</x:v>
      </x:c>
      <x:c r="M8" s="195" t="n">
        <x:f>ROUND(K8*50+L8*30+MIN(J8/I8,1)*20,0)</x:f>
        <x:v>0</x:v>
      </x:c>
      <x:c r="N8" s="158" t="str">
        <x:f>IF(AND(M8&gt;='01 Tổng quan'!$B$6,K8=1,L8=1),"Đạt",IF(M8&gt;=65,"Cần bổ sung","Không đạt"))</x:f>
        <x:v>Không đạt</x:v>
      </x:c>
      <x:c r="O8" s="158" t="str"/>
    </x:row>
    <x:row r="9" ht="72" customHeight="1">
      <x:c r="A9" s="158" t="n">
        <x:v>5</x:v>
      </x:c>
      <x:c r="B9" s="158" t="str">
        <x:v>Spring, dữ liệu và kiểm thử</x:v>
      </x:c>
      <x:c r="C9" s="158" t="str">
        <x:v>Kiến trúc ứng dụng Spring Boot</x:v>
      </x:c>
      <x:c r="D9" s="158" t="str">
        <x:v>Auto-configuration, dependency injection, configuration properties, profile và kiến trúc phân lớp</x:v>
      </x:c>
      <x:c r="E9" s="158" t="str">
        <x:v>Xây skeleton ứng dụng theo module nghiệp vụ, tách rõ domain–application–infrastructure</x:v>
      </x:c>
      <x:c r="F9" s="158" t="str">
        <x:v>Spring Boot skeleton; sơ đồ module; ADR-001</x:v>
      </x:c>
      <x:c r="G9" s="244" t="n">
        <x:f>'01 Tổng quan'!$B$4+(A9-1)*7</x:f>
        <x:v>46258</x:v>
      </x:c>
      <x:c r="H9" s="244" t="n">
        <x:f>G9+6</x:f>
        <x:v>46264</x:v>
      </x:c>
      <x:c r="I9" s="245" t="n">
        <x:v>15</x:v>
      </x:c>
      <x:c r="J9" s="245" t="n">
        <x:f>SUMIF('03 Kế hoạch tuần'!$A$5:$A$277,A9,'03 Kế hoạch tuần'!$I$5:$I$277)</x:f>
        <x:v>0</x:v>
      </x:c>
      <x:c r="K9" s="194" t="n">
        <x:f>IFERROR(COUNTIFS('03 Kế hoạch tuần'!$A$5:$A$277,A9,'03 Kế hoạch tuần'!$H$5:$H$277,"Hoàn thành")/COUNTIF('03 Kế hoạch tuần'!$A$5:$A$277,A9),0)</x:f>
        <x:v>0</x:v>
      </x:c>
      <x:c r="L9" s="194" t="n">
        <x:f>IFERROR(COUNTIFS('04 Checklist tuần'!$A$5:$A$238,A9,'04 Checklist tuần'!$D$5:$D$238,"Đạt")/COUNTIF('04 Checklist tuần'!$A$5:$A$238,A9),0)</x:f>
        <x:v>0</x:v>
      </x:c>
      <x:c r="M9" s="195" t="n">
        <x:f>ROUND(K9*50+L9*30+MIN(J9/I9,1)*20,0)</x:f>
        <x:v>0</x:v>
      </x:c>
      <x:c r="N9" s="158" t="str">
        <x:f>IF(AND(M9&gt;='01 Tổng quan'!$B$6,K9=1,L9=1),"Đạt",IF(M9&gt;=65,"Cần bổ sung","Không đạt"))</x:f>
        <x:v>Không đạt</x:v>
      </x:c>
      <x:c r="O9" s="158" t="str"/>
    </x:row>
    <x:row r="10" ht="72" customHeight="1">
      <x:c r="A10" s="158" t="n">
        <x:v>6</x:v>
      </x:c>
      <x:c r="B10" s="158" t="str">
        <x:v>Spring, dữ liệu và kiểm thử</x:v>
      </x:c>
      <x:c r="C10" s="158" t="str">
        <x:v>Thiết kế REST API và hợp đồng OpenAPI</x:v>
      </x:c>
      <x:c r="D10" s="158" t="str">
        <x:v>Resource modeling, status code, validation, error contract, pagination, idempotency header và versioning</x:v>
      </x:c>
      <x:c r="E10" s="158" t="str">
        <x:v>Thiết kế API tài khoản và chuyển tiền theo hướng contract-first</x:v>
      </x:c>
      <x:c r="F10" s="158" t="str">
        <x:v>openapi.yaml; controller; global error handler; bộ kiểm thử API</x:v>
      </x:c>
      <x:c r="G10" s="244" t="n">
        <x:f>'01 Tổng quan'!$B$4+(A10-1)*7</x:f>
        <x:v>46265</x:v>
      </x:c>
      <x:c r="H10" s="244" t="n">
        <x:f>G10+6</x:f>
        <x:v>46271</x:v>
      </x:c>
      <x:c r="I10" s="245" t="n">
        <x:v>15</x:v>
      </x:c>
      <x:c r="J10" s="245" t="n">
        <x:f>SUMIF('03 Kế hoạch tuần'!$A$5:$A$277,A10,'03 Kế hoạch tuần'!$I$5:$I$277)</x:f>
        <x:v>0</x:v>
      </x:c>
      <x:c r="K10" s="194" t="n">
        <x:f>IFERROR(COUNTIFS('03 Kế hoạch tuần'!$A$5:$A$277,A10,'03 Kế hoạch tuần'!$H$5:$H$277,"Hoàn thành")/COUNTIF('03 Kế hoạch tuần'!$A$5:$A$277,A10),0)</x:f>
        <x:v>0</x:v>
      </x:c>
      <x:c r="L10" s="194" t="n">
        <x:f>IFERROR(COUNTIFS('04 Checklist tuần'!$A$5:$A$238,A10,'04 Checklist tuần'!$D$5:$D$238,"Đạt")/COUNTIF('04 Checklist tuần'!$A$5:$A$238,A10),0)</x:f>
        <x:v>0</x:v>
      </x:c>
      <x:c r="M10" s="195" t="n">
        <x:f>ROUND(K10*50+L10*30+MIN(J10/I10,1)*20,0)</x:f>
        <x:v>0</x:v>
      </x:c>
      <x:c r="N10" s="158" t="str">
        <x:f>IF(AND(M10&gt;='01 Tổng quan'!$B$6,K10=1,L10=1),"Đạt",IF(M10&gt;=65,"Cần bổ sung","Không đạt"))</x:f>
        <x:v>Không đạt</x:v>
      </x:c>
      <x:c r="O10" s="158" t="str"/>
    </x:row>
    <x:row r="11" ht="72" customHeight="1">
      <x:c r="A11" s="158" t="n">
        <x:v>7</x:v>
      </x:c>
      <x:c r="B11" s="158" t="str">
        <x:v>Spring, dữ liệu và kiểm thử</x:v>
      </x:c>
      <x:c r="C11" s="158" t="str">
        <x:v>JPA, giao dịch và khóa dữ liệu</x:v>
      </x:c>
      <x:c r="D11" s="158" t="str">
        <x:v>Entity lifecycle, N+1, transaction boundary, optimistic lock, pessimistic lock và isolation level</x:v>
      </x:c>
      <x:c r="E11" s="158" t="str">
        <x:v>Tái hiện lost update và triển khai hai phương án ngăn chặn</x:v>
      </x:c>
      <x:c r="F11" s="158" t="str">
        <x:v>locking-lab; SQL log; báo cáo so sánh optimistic/pessimistic</x:v>
      </x:c>
      <x:c r="G11" s="244" t="n">
        <x:f>'01 Tổng quan'!$B$4+(A11-1)*7</x:f>
        <x:v>46272</x:v>
      </x:c>
      <x:c r="H11" s="244" t="n">
        <x:f>G11+6</x:f>
        <x:v>46278</x:v>
      </x:c>
      <x:c r="I11" s="245" t="n">
        <x:v>15</x:v>
      </x:c>
      <x:c r="J11" s="245" t="n">
        <x:f>SUMIF('03 Kế hoạch tuần'!$A$5:$A$277,A11,'03 Kế hoạch tuần'!$I$5:$I$277)</x:f>
        <x:v>0</x:v>
      </x:c>
      <x:c r="K11" s="194" t="n">
        <x:f>IFERROR(COUNTIFS('03 Kế hoạch tuần'!$A$5:$A$277,A11,'03 Kế hoạch tuần'!$H$5:$H$277,"Hoàn thành")/COUNTIF('03 Kế hoạch tuần'!$A$5:$A$277,A11),0)</x:f>
        <x:v>0</x:v>
      </x:c>
      <x:c r="L11" s="194" t="n">
        <x:f>IFERROR(COUNTIFS('04 Checklist tuần'!$A$5:$A$238,A11,'04 Checklist tuần'!$D$5:$D$238,"Đạt")/COUNTIF('04 Checklist tuần'!$A$5:$A$238,A11),0)</x:f>
        <x:v>0</x:v>
      </x:c>
      <x:c r="M11" s="195" t="n">
        <x:f>ROUND(K11*50+L11*30+MIN(J11/I11,1)*20,0)</x:f>
        <x:v>0</x:v>
      </x:c>
      <x:c r="N11" s="158" t="str">
        <x:f>IF(AND(M11&gt;='01 Tổng quan'!$B$6,K11=1,L11=1),"Đạt",IF(M11&gt;=65,"Cần bổ sung","Không đạt"))</x:f>
        <x:v>Không đạt</x:v>
      </x:c>
      <x:c r="O11" s="158" t="str"/>
    </x:row>
    <x:row r="12" ht="72" customHeight="1">
      <x:c r="A12" s="158" t="n">
        <x:v>8</x:v>
      </x:c>
      <x:c r="B12" s="158" t="str">
        <x:v>Spring, dữ liệu và kiểm thử</x:v>
      </x:c>
      <x:c r="C12" s="158" t="str">
        <x:v>PostgreSQL và tối ưu SQL</x:v>
      </x:c>
      <x:c r="D12" s="158" t="str">
        <x:v>EXPLAIN ANALYZE, index đơn–ghép, selectivity, partitioning, connection pool và truy vấn tổng hợp</x:v>
      </x:c>
      <x:c r="E12" s="158" t="str">
        <x:v>Tối ưu ba truy vấn trên bộ dữ liệu tối thiểu 500.000 giao dịch</x:v>
      </x:c>
      <x:c r="F12" s="158" t="str">
        <x:v>seed data; execution plans; báo cáo trước–sau</x:v>
      </x:c>
      <x:c r="G12" s="244" t="n">
        <x:f>'01 Tổng quan'!$B$4+(A12-1)*7</x:f>
        <x:v>46279</x:v>
      </x:c>
      <x:c r="H12" s="244" t="n">
        <x:f>G12+6</x:f>
        <x:v>46285</x:v>
      </x:c>
      <x:c r="I12" s="245" t="n">
        <x:v>15</x:v>
      </x:c>
      <x:c r="J12" s="245" t="n">
        <x:f>SUMIF('03 Kế hoạch tuần'!$A$5:$A$277,A12,'03 Kế hoạch tuần'!$I$5:$I$277)</x:f>
        <x:v>0</x:v>
      </x:c>
      <x:c r="K12" s="194" t="n">
        <x:f>IFERROR(COUNTIFS('03 Kế hoạch tuần'!$A$5:$A$277,A12,'03 Kế hoạch tuần'!$H$5:$H$277,"Hoàn thành")/COUNTIF('03 Kế hoạch tuần'!$A$5:$A$277,A12),0)</x:f>
        <x:v>0</x:v>
      </x:c>
      <x:c r="L12" s="194" t="n">
        <x:f>IFERROR(COUNTIFS('04 Checklist tuần'!$A$5:$A$238,A12,'04 Checklist tuần'!$D$5:$D$238,"Đạt")/COUNTIF('04 Checklist tuần'!$A$5:$A$238,A12),0)</x:f>
        <x:v>0</x:v>
      </x:c>
      <x:c r="M12" s="195" t="n">
        <x:f>ROUND(K12*50+L12*30+MIN(J12/I12,1)*20,0)</x:f>
        <x:v>0</x:v>
      </x:c>
      <x:c r="N12" s="158" t="str">
        <x:f>IF(AND(M12&gt;='01 Tổng quan'!$B$6,K12=1,L12=1),"Đạt",IF(M12&gt;=65,"Cần bổ sung","Không đạt"))</x:f>
        <x:v>Không đạt</x:v>
      </x:c>
      <x:c r="O12" s="158" t="str"/>
    </x:row>
    <x:row r="13" ht="72" customHeight="1">
      <x:c r="A13" s="158" t="n">
        <x:v>9</x:v>
      </x:c>
      <x:c r="B13" s="158" t="str">
        <x:v>Spring, dữ liệu và kiểm thử</x:v>
      </x:c>
      <x:c r="C13" s="158" t="str">
        <x:v>Chiến lược kiểm thử và Testcontainers</x:v>
      </x:c>
      <x:c r="D13" s="158" t="str">
        <x:v>Testing pyramid, unit/integration/contract test, test data builder, isolation và kiểm thử cơ sở dữ liệu thật</x:v>
      </x:c>
      <x:c r="E13" s="158" t="str">
        <x:v>Thiết lập bộ kiểm thử tự động cho API, nghiệp vụ và PostgreSQL</x:v>
      </x:c>
      <x:c r="F13" s="158" t="str">
        <x:v>test suite; Testcontainers setup; báo cáo phạm vi kiểm thử</x:v>
      </x:c>
      <x:c r="G13" s="244" t="n">
        <x:f>'01 Tổng quan'!$B$4+(A13-1)*7</x:f>
        <x:v>46286</x:v>
      </x:c>
      <x:c r="H13" s="244" t="n">
        <x:f>G13+6</x:f>
        <x:v>46292</x:v>
      </x:c>
      <x:c r="I13" s="245" t="n">
        <x:v>15</x:v>
      </x:c>
      <x:c r="J13" s="245" t="n">
        <x:f>SUMIF('03 Kế hoạch tuần'!$A$5:$A$277,A13,'03 Kế hoạch tuần'!$I$5:$I$277)</x:f>
        <x:v>0</x:v>
      </x:c>
      <x:c r="K13" s="194" t="n">
        <x:f>IFERROR(COUNTIFS('03 Kế hoạch tuần'!$A$5:$A$277,A13,'03 Kế hoạch tuần'!$H$5:$H$277,"Hoàn thành")/COUNTIF('03 Kế hoạch tuần'!$A$5:$A$277,A13),0)</x:f>
        <x:v>0</x:v>
      </x:c>
      <x:c r="L13" s="194" t="n">
        <x:f>IFERROR(COUNTIFS('04 Checklist tuần'!$A$5:$A$238,A13,'04 Checklist tuần'!$D$5:$D$238,"Đạt")/COUNTIF('04 Checklist tuần'!$A$5:$A$238,A13),0)</x:f>
        <x:v>0</x:v>
      </x:c>
      <x:c r="M13" s="195" t="n">
        <x:f>ROUND(K13*50+L13*30+MIN(J13/I13,1)*20,0)</x:f>
        <x:v>0</x:v>
      </x:c>
      <x:c r="N13" s="158" t="str">
        <x:f>IF(AND(M13&gt;='01 Tổng quan'!$B$6,K13=1,L13=1),"Đạt",IF(M13&gt;=65,"Cần bổ sung","Không đạt"))</x:f>
        <x:v>Không đạt</x:v>
      </x:c>
      <x:c r="O13" s="158" t="str"/>
    </x:row>
    <x:row r="14" ht="72" customHeight="1">
      <x:c r="A14" s="158" t="n">
        <x:v>10</x:v>
      </x:c>
      <x:c r="B14" s="158" t="str">
        <x:v>Spring, dữ liệu và kiểm thử</x:v>
      </x:c>
      <x:c r="C14" s="158" t="str">
        <x:v>Spring Security, OAuth2 và JWT</x:v>
      </x:c>
      <x:c r="D14" s="158" t="str">
        <x:v>Authentication, authorization, OAuth2 flows, JWT validation, RBAC, method security và threat modeling</x:v>
      </x:c>
      <x:c r="E14" s="158" t="str">
        <x:v>Bảo vệ API bằng OAuth2 Resource Server và quyền theo vai trò</x:v>
      </x:c>
      <x:c r="F14" s="158" t="str">
        <x:v>security configuration; threat model; bộ kiểm thử phân quyền</x:v>
      </x:c>
      <x:c r="G14" s="244" t="n">
        <x:f>'01 Tổng quan'!$B$4+(A14-1)*7</x:f>
        <x:v>46293</x:v>
      </x:c>
      <x:c r="H14" s="244" t="n">
        <x:f>G14+6</x:f>
        <x:v>46299</x:v>
      </x:c>
      <x:c r="I14" s="245" t="n">
        <x:v>15</x:v>
      </x:c>
      <x:c r="J14" s="245" t="n">
        <x:f>SUMIF('03 Kế hoạch tuần'!$A$5:$A$277,A14,'03 Kế hoạch tuần'!$I$5:$I$277)</x:f>
        <x:v>0</x:v>
      </x:c>
      <x:c r="K14" s="194" t="n">
        <x:f>IFERROR(COUNTIFS('03 Kế hoạch tuần'!$A$5:$A$277,A14,'03 Kế hoạch tuần'!$H$5:$H$277,"Hoàn thành")/COUNTIF('03 Kế hoạch tuần'!$A$5:$A$277,A14),0)</x:f>
        <x:v>0</x:v>
      </x:c>
      <x:c r="L14" s="194" t="n">
        <x:f>IFERROR(COUNTIFS('04 Checklist tuần'!$A$5:$A$238,A14,'04 Checklist tuần'!$D$5:$D$238,"Đạt")/COUNTIF('04 Checklist tuần'!$A$5:$A$238,A14),0)</x:f>
        <x:v>0</x:v>
      </x:c>
      <x:c r="M14" s="195" t="n">
        <x:f>ROUND(K14*50+L14*30+MIN(J14/I14,1)*20,0)</x:f>
        <x:v>0</x:v>
      </x:c>
      <x:c r="N14" s="158" t="str">
        <x:f>IF(AND(M14&gt;='01 Tổng quan'!$B$6,K14=1,L14=1),"Đạt",IF(M14&gt;=65,"Cần bổ sung","Không đạt"))</x:f>
        <x:v>Không đạt</x:v>
      </x:c>
      <x:c r="O14" s="158" t="str"/>
    </x:row>
    <x:row r="15" ht="72" customHeight="1">
      <x:c r="A15" s="158" t="n">
        <x:v>11</x:v>
      </x:c>
      <x:c r="B15" s="158" t="str">
        <x:v>Spring, dữ liệu và kiểm thử</x:v>
      </x:c>
      <x:c r="C15" s="158" t="str">
        <x:v>Docker, Compose và tích hợp liên tục</x:v>
      </x:c>
      <x:c r="D15" s="158" t="str">
        <x:v>Image layers, multi-stage build, healthcheck, Compose network/volume, secret handling và CI pipeline</x:v>
      </x:c>
      <x:c r="E15" s="158" t="str">
        <x:v>Chạy ứng dụng, PostgreSQL và dịch vụ phụ trợ bằng một lệnh; kiểm thử tự động khi đẩy mã</x:v>
      </x:c>
      <x:c r="F15" s="158" t="str">
        <x:v>Dockerfile; compose.yaml; GitHub Actions workflow; runbook</x:v>
      </x:c>
      <x:c r="G15" s="244" t="n">
        <x:f>'01 Tổng quan'!$B$4+(A15-1)*7</x:f>
        <x:v>46300</x:v>
      </x:c>
      <x:c r="H15" s="244" t="n">
        <x:f>G15+6</x:f>
        <x:v>46306</x:v>
      </x:c>
      <x:c r="I15" s="245" t="n">
        <x:v>15</x:v>
      </x:c>
      <x:c r="J15" s="245" t="n">
        <x:f>SUMIF('03 Kế hoạch tuần'!$A$5:$A$277,A15,'03 Kế hoạch tuần'!$I$5:$I$277)</x:f>
        <x:v>0</x:v>
      </x:c>
      <x:c r="K15" s="194" t="n">
        <x:f>IFERROR(COUNTIFS('03 Kế hoạch tuần'!$A$5:$A$277,A15,'03 Kế hoạch tuần'!$H$5:$H$277,"Hoàn thành")/COUNTIF('03 Kế hoạch tuần'!$A$5:$A$277,A15),0)</x:f>
        <x:v>0</x:v>
      </x:c>
      <x:c r="L15" s="194" t="n">
        <x:f>IFERROR(COUNTIFS('04 Checklist tuần'!$A$5:$A$238,A15,'04 Checklist tuần'!$D$5:$D$238,"Đạt")/COUNTIF('04 Checklist tuần'!$A$5:$A$238,A15),0)</x:f>
        <x:v>0</x:v>
      </x:c>
      <x:c r="M15" s="195" t="n">
        <x:f>ROUND(K15*50+L15*30+MIN(J15/I15,1)*20,0)</x:f>
        <x:v>0</x:v>
      </x:c>
      <x:c r="N15" s="158" t="str">
        <x:f>IF(AND(M15&gt;='01 Tổng quan'!$B$6,K15=1,L15=1),"Đạt",IF(M15&gt;=65,"Cần bổ sung","Không đạt"))</x:f>
        <x:v>Không đạt</x:v>
      </x:c>
      <x:c r="O15" s="158" t="str"/>
    </x:row>
    <x:row r="16" ht="72" customHeight="1">
      <x:c r="A16" s="158" t="n">
        <x:v>12</x:v>
      </x:c>
      <x:c r="B16" s="158" t="str">
        <x:v>Hệ thống phân tán</x:v>
      </x:c>
      <x:c r="C16" s="158" t="str">
        <x:v>Redis: cache, rate limit và khóa</x:v>
      </x:c>
      <x:c r="D16" s="158" t="str">
        <x:v>Data types, cache-aside, TTL, cache stampede, distributed lock và sliding-window rate limit</x:v>
      </x:c>
      <x:c r="E16" s="158" t="str">
        <x:v>Thêm cache số dư đọc, giới hạn API và chứng minh chiến lược vô hiệu hóa cache</x:v>
      </x:c>
      <x:c r="F16" s="158" t="str">
        <x:v>redis-lab; báo cáo hit rate; kiểm thử cache invalidation</x:v>
      </x:c>
      <x:c r="G16" s="244" t="n">
        <x:f>'01 Tổng quan'!$B$4+(A16-1)*7</x:f>
        <x:v>46307</x:v>
      </x:c>
      <x:c r="H16" s="244" t="n">
        <x:f>G16+6</x:f>
        <x:v>46313</x:v>
      </x:c>
      <x:c r="I16" s="245" t="n">
        <x:v>15</x:v>
      </x:c>
      <x:c r="J16" s="245" t="n">
        <x:f>SUMIF('03 Kế hoạch tuần'!$A$5:$A$277,A16,'03 Kế hoạch tuần'!$I$5:$I$277)</x:f>
        <x:v>0</x:v>
      </x:c>
      <x:c r="K16" s="194" t="n">
        <x:f>IFERROR(COUNTIFS('03 Kế hoạch tuần'!$A$5:$A$277,A16,'03 Kế hoạch tuần'!$H$5:$H$277,"Hoàn thành")/COUNTIF('03 Kế hoạch tuần'!$A$5:$A$277,A16),0)</x:f>
        <x:v>0</x:v>
      </x:c>
      <x:c r="L16" s="194" t="n">
        <x:f>IFERROR(COUNTIFS('04 Checklist tuần'!$A$5:$A$238,A16,'04 Checklist tuần'!$D$5:$D$238,"Đạt")/COUNTIF('04 Checklist tuần'!$A$5:$A$238,A16),0)</x:f>
        <x:v>0</x:v>
      </x:c>
      <x:c r="M16" s="195" t="n">
        <x:f>ROUND(K16*50+L16*30+MIN(J16/I16,1)*20,0)</x:f>
        <x:v>0</x:v>
      </x:c>
      <x:c r="N16" s="158" t="str">
        <x:f>IF(AND(M16&gt;='01 Tổng quan'!$B$6,K16=1,L16=1),"Đạt",IF(M16&gt;=65,"Cần bổ sung","Không đạt"))</x:f>
        <x:v>Không đạt</x:v>
      </x:c>
      <x:c r="O16" s="158" t="str"/>
    </x:row>
    <x:row r="17" ht="72" customHeight="1">
      <x:c r="A17" s="158" t="n">
        <x:v>13</x:v>
      </x:c>
      <x:c r="B17" s="158" t="str">
        <x:v>Hệ thống phân tán</x:v>
      </x:c>
      <x:c r="C17" s="158" t="str">
        <x:v>Kafka căn bản</x:v>
      </x:c>
      <x:c r="D17" s="158" t="str">
        <x:v>Broker, topic, partition, offset, producer, consumer group, key và ordering guarantee</x:v>
      </x:c>
      <x:c r="E17" s="158" t="str">
        <x:v>Xây luồng TransactionCreated với ba partition và nhiều consumer</x:v>
      </x:c>
      <x:c r="F17" s="158" t="str">
        <x:v>kafka-lab; sơ đồ partition; kiểm thử tích hợp</x:v>
      </x:c>
      <x:c r="G17" s="244" t="n">
        <x:f>'01 Tổng quan'!$B$4+(A17-1)*7</x:f>
        <x:v>46314</x:v>
      </x:c>
      <x:c r="H17" s="244" t="n">
        <x:f>G17+6</x:f>
        <x:v>46320</x:v>
      </x:c>
      <x:c r="I17" s="245" t="n">
        <x:v>15</x:v>
      </x:c>
      <x:c r="J17" s="245" t="n">
        <x:f>SUMIF('03 Kế hoạch tuần'!$A$5:$A$277,A17,'03 Kế hoạch tuần'!$I$5:$I$277)</x:f>
        <x:v>0</x:v>
      </x:c>
      <x:c r="K17" s="194" t="n">
        <x:f>IFERROR(COUNTIFS('03 Kế hoạch tuần'!$A$5:$A$277,A17,'03 Kế hoạch tuần'!$H$5:$H$277,"Hoàn thành")/COUNTIF('03 Kế hoạch tuần'!$A$5:$A$277,A17),0)</x:f>
        <x:v>0</x:v>
      </x:c>
      <x:c r="L17" s="194" t="n">
        <x:f>IFERROR(COUNTIFS('04 Checklist tuần'!$A$5:$A$238,A17,'04 Checklist tuần'!$D$5:$D$238,"Đạt")/COUNTIF('04 Checklist tuần'!$A$5:$A$238,A17),0)</x:f>
        <x:v>0</x:v>
      </x:c>
      <x:c r="M17" s="195" t="n">
        <x:f>ROUND(K17*50+L17*30+MIN(J17/I17,1)*20,0)</x:f>
        <x:v>0</x:v>
      </x:c>
      <x:c r="N17" s="158" t="str">
        <x:f>IF(AND(M17&gt;='01 Tổng quan'!$B$6,K17=1,L17=1),"Đạt",IF(M17&gt;=65,"Cần bổ sung","Không đạt"))</x:f>
        <x:v>Không đạt</x:v>
      </x:c>
      <x:c r="O17" s="158" t="str"/>
    </x:row>
    <x:row r="18" ht="72" customHeight="1">
      <x:c r="A18" s="158" t="n">
        <x:v>14</x:v>
      </x:c>
      <x:c r="B18" s="158" t="str">
        <x:v>Hệ thống phân tán</x:v>
      </x:c>
      <x:c r="C18" s="158" t="str">
        <x:v>Kafka tin cậy và xử lý lỗi</x:v>
      </x:c>
      <x:c r="D18" s="158" t="str">
        <x:v>Acknowledgement, retry topic, dead-letter topic, duplicate delivery, schema evolution và exactly-once boundary</x:v>
      </x:c>
      <x:c r="E18" s="158" t="str">
        <x:v>Xử lý thông điệp lỗi, trùng và poison message mà không mất luồng</x:v>
      </x:c>
      <x:c r="F18" s="158" t="str">
        <x:v>retry/DLT implementation; failure matrix; recovery runbook</x:v>
      </x:c>
      <x:c r="G18" s="244" t="n">
        <x:f>'01 Tổng quan'!$B$4+(A18-1)*7</x:f>
        <x:v>46321</x:v>
      </x:c>
      <x:c r="H18" s="244" t="n">
        <x:f>G18+6</x:f>
        <x:v>46327</x:v>
      </x:c>
      <x:c r="I18" s="245" t="n">
        <x:v>15</x:v>
      </x:c>
      <x:c r="J18" s="245" t="n">
        <x:f>SUMIF('03 Kế hoạch tuần'!$A$5:$A$277,A18,'03 Kế hoạch tuần'!$I$5:$I$277)</x:f>
        <x:v>0</x:v>
      </x:c>
      <x:c r="K18" s="194" t="n">
        <x:f>IFERROR(COUNTIFS('03 Kế hoạch tuần'!$A$5:$A$277,A18,'03 Kế hoạch tuần'!$H$5:$H$277,"Hoàn thành")/COUNTIF('03 Kế hoạch tuần'!$A$5:$A$277,A18),0)</x:f>
        <x:v>0</x:v>
      </x:c>
      <x:c r="L18" s="194" t="n">
        <x:f>IFERROR(COUNTIFS('04 Checklist tuần'!$A$5:$A$238,A18,'04 Checklist tuần'!$D$5:$D$238,"Đạt")/COUNTIF('04 Checklist tuần'!$A$5:$A$238,A18),0)</x:f>
        <x:v>0</x:v>
      </x:c>
      <x:c r="M18" s="195" t="n">
        <x:f>ROUND(K18*50+L18*30+MIN(J18/I18,1)*20,0)</x:f>
        <x:v>0</x:v>
      </x:c>
      <x:c r="N18" s="158" t="str">
        <x:f>IF(AND(M18&gt;='01 Tổng quan'!$B$6,K18=1,L18=1),"Đạt",IF(M18&gt;=65,"Cần bổ sung","Không đạt"))</x:f>
        <x:v>Không đạt</x:v>
      </x:c>
      <x:c r="O18" s="158" t="str"/>
    </x:row>
    <x:row r="19" ht="72" customHeight="1">
      <x:c r="A19" s="158" t="n">
        <x:v>15</x:v>
      </x:c>
      <x:c r="B19" s="158" t="str">
        <x:v>Hệ thống phân tán</x:v>
      </x:c>
      <x:c r="C19" s="158" t="str">
        <x:v>Timeout, retry và circuit breaker</x:v>
      </x:c>
      <x:c r="D19" s="158" t="str">
        <x:v>Failure modes, timeout budget, exponential backoff, jitter, circuit breaker, bulkhead và fallback</x:v>
      </x:c>
      <x:c r="E19" s="158" t="str">
        <x:v>Bảo vệ một tích hợp bên ngoài trước chậm, lỗi và quá tải</x:v>
      </x:c>
      <x:c r="F19" s="158" t="str">
        <x:v>resilience-lab; biểu đồ lỗi; bảng cấu hình và lý do</x:v>
      </x:c>
      <x:c r="G19" s="244" t="n">
        <x:f>'01 Tổng quan'!$B$4+(A19-1)*7</x:f>
        <x:v>46328</x:v>
      </x:c>
      <x:c r="H19" s="244" t="n">
        <x:f>G19+6</x:f>
        <x:v>46334</x:v>
      </x:c>
      <x:c r="I19" s="245" t="n">
        <x:v>15</x:v>
      </x:c>
      <x:c r="J19" s="245" t="n">
        <x:f>SUMIF('03 Kế hoạch tuần'!$A$5:$A$277,A19,'03 Kế hoạch tuần'!$I$5:$I$277)</x:f>
        <x:v>0</x:v>
      </x:c>
      <x:c r="K19" s="194" t="n">
        <x:f>IFERROR(COUNTIFS('03 Kế hoạch tuần'!$A$5:$A$277,A19,'03 Kế hoạch tuần'!$H$5:$H$277,"Hoàn thành")/COUNTIF('03 Kế hoạch tuần'!$A$5:$A$277,A19),0)</x:f>
        <x:v>0</x:v>
      </x:c>
      <x:c r="L19" s="194" t="n">
        <x:f>IFERROR(COUNTIFS('04 Checklist tuần'!$A$5:$A$238,A19,'04 Checklist tuần'!$D$5:$D$238,"Đạt")/COUNTIF('04 Checklist tuần'!$A$5:$A$238,A19),0)</x:f>
        <x:v>0</x:v>
      </x:c>
      <x:c r="M19" s="195" t="n">
        <x:f>ROUND(K19*50+L19*30+MIN(J19/I19,1)*20,0)</x:f>
        <x:v>0</x:v>
      </x:c>
      <x:c r="N19" s="158" t="str">
        <x:f>IF(AND(M19&gt;='01 Tổng quan'!$B$6,K19=1,L19=1),"Đạt",IF(M19&gt;=65,"Cần bổ sung","Không đạt"))</x:f>
        <x:v>Không đạt</x:v>
      </x:c>
      <x:c r="O19" s="158" t="str"/>
    </x:row>
    <x:row r="20" ht="72" customHeight="1">
      <x:c r="A20" s="158" t="n">
        <x:v>16</x:v>
      </x:c>
      <x:c r="B20" s="158" t="str">
        <x:v>Hệ thống phân tán</x:v>
      </x:c>
      <x:c r="C20" s="158" t="str">
        <x:v>Outbox, Saga và chống xử lý trùng</x:v>
      </x:c>
      <x:c r="D20" s="158" t="str">
        <x:v>Dual-write problem, transactional outbox, idempotent consumer, orchestration/choreography và compensation</x:v>
      </x:c>
      <x:c r="E20" s="158" t="str">
        <x:v>Ghi giao dịch và sự kiện tin cậy mà không dùng distributed transaction</x:v>
      </x:c>
      <x:c r="F20" s="158" t="str">
        <x:v>outbox implementation; saga diagram; kiểm thử crash recovery</x:v>
      </x:c>
      <x:c r="G20" s="244" t="n">
        <x:f>'01 Tổng quan'!$B$4+(A20-1)*7</x:f>
        <x:v>46335</x:v>
      </x:c>
      <x:c r="H20" s="244" t="n">
        <x:f>G20+6</x:f>
        <x:v>46341</x:v>
      </x:c>
      <x:c r="I20" s="245" t="n">
        <x:v>15</x:v>
      </x:c>
      <x:c r="J20" s="245" t="n">
        <x:f>SUMIF('03 Kế hoạch tuần'!$A$5:$A$277,A20,'03 Kế hoạch tuần'!$I$5:$I$277)</x:f>
        <x:v>0</x:v>
      </x:c>
      <x:c r="K20" s="194" t="n">
        <x:f>IFERROR(COUNTIFS('03 Kế hoạch tuần'!$A$5:$A$277,A20,'03 Kế hoạch tuần'!$H$5:$H$277,"Hoàn thành")/COUNTIF('03 Kế hoạch tuần'!$A$5:$A$277,A20),0)</x:f>
        <x:v>0</x:v>
      </x:c>
      <x:c r="L20" s="194" t="n">
        <x:f>IFERROR(COUNTIFS('04 Checklist tuần'!$A$5:$A$238,A20,'04 Checklist tuần'!$D$5:$D$238,"Đạt")/COUNTIF('04 Checklist tuần'!$A$5:$A$238,A20),0)</x:f>
        <x:v>0</x:v>
      </x:c>
      <x:c r="M20" s="195" t="n">
        <x:f>ROUND(K20*50+L20*30+MIN(J20/I20,1)*20,0)</x:f>
        <x:v>0</x:v>
      </x:c>
      <x:c r="N20" s="158" t="str">
        <x:f>IF(AND(M20&gt;='01 Tổng quan'!$B$6,K20=1,L20=1),"Đạt",IF(M20&gt;=65,"Cần bổ sung","Không đạt"))</x:f>
        <x:v>Không đạt</x:v>
      </x:c>
      <x:c r="O20" s="158" t="str"/>
    </x:row>
    <x:row r="21" ht="72" customHeight="1">
      <x:c r="A21" s="158" t="n">
        <x:v>17</x:v>
      </x:c>
      <x:c r="B21" s="158" t="str">
        <x:v>Hệ thống phân tán</x:v>
      </x:c>
      <x:c r="C21" s="158" t="str">
        <x:v>Log, metric, trace và cảnh báo</x:v>
      </x:c>
      <x:c r="D21" s="158" t="str">
        <x:v>Structured logging, correlation ID, RED metrics, distributed tracing, SLI/SLO và alert design</x:v>
      </x:c>
      <x:c r="E21" s="158" t="str">
        <x:v>Theo dõi một giao dịch xuyên qua API, database, Kafka và consumer</x:v>
      </x:c>
      <x:c r="F21" s="158" t="str">
        <x:v>dashboard; trace mẫu; alert rules; observability runbook</x:v>
      </x:c>
      <x:c r="G21" s="244" t="n">
        <x:f>'01 Tổng quan'!$B$4+(A21-1)*7</x:f>
        <x:v>46342</x:v>
      </x:c>
      <x:c r="H21" s="244" t="n">
        <x:f>G21+6</x:f>
        <x:v>46348</x:v>
      </x:c>
      <x:c r="I21" s="245" t="n">
        <x:v>15</x:v>
      </x:c>
      <x:c r="J21" s="245" t="n">
        <x:f>SUMIF('03 Kế hoạch tuần'!$A$5:$A$277,A21,'03 Kế hoạch tuần'!$I$5:$I$277)</x:f>
        <x:v>0</x:v>
      </x:c>
      <x:c r="K21" s="194" t="n">
        <x:f>IFERROR(COUNTIFS('03 Kế hoạch tuần'!$A$5:$A$277,A21,'03 Kế hoạch tuần'!$H$5:$H$277,"Hoàn thành")/COUNTIF('03 Kế hoạch tuần'!$A$5:$A$277,A21),0)</x:f>
        <x:v>0</x:v>
      </x:c>
      <x:c r="L21" s="194" t="n">
        <x:f>IFERROR(COUNTIFS('04 Checklist tuần'!$A$5:$A$238,A21,'04 Checklist tuần'!$D$5:$D$238,"Đạt")/COUNTIF('04 Checklist tuần'!$A$5:$A$238,A21),0)</x:f>
        <x:v>0</x:v>
      </x:c>
      <x:c r="M21" s="195" t="n">
        <x:f>ROUND(K21*50+L21*30+MIN(J21/I21,1)*20,0)</x:f>
        <x:v>0</x:v>
      </x:c>
      <x:c r="N21" s="158" t="str">
        <x:f>IF(AND(M21&gt;='01 Tổng quan'!$B$6,K21=1,L21=1),"Đạt",IF(M21&gt;=65,"Cần bổ sung","Không đạt"))</x:f>
        <x:v>Không đạt</x:v>
      </x:c>
      <x:c r="O21" s="158" t="str"/>
    </x:row>
    <x:row r="22" ht="72" customHeight="1">
      <x:c r="A22" s="158" t="n">
        <x:v>18</x:v>
      </x:c>
      <x:c r="B22" s="158" t="str">
        <x:v>Dự án ngân hàng số</x:v>
      </x:c>
      <x:c r="C22" s="158" t="str">
        <x:v>Nghiệp vụ tài khoản, số dư và sổ cái</x:v>
      </x:c>
      <x:c r="D22" s="158" t="str">
        <x:v>Customer, account, ledger, entry, transaction, posted/pending/available balance và auditability</x:v>
      </x:c>
      <x:c r="E22" s="158" t="str">
        <x:v>Hoàn thành mô hình miền và 12 quy tắc nghiệp vụ dự án ngân hàng</x:v>
      </x:c>
      <x:c r="F22" s="158" t="str">
        <x:v>domain glossary; context map; business rules; sequence diagrams</x:v>
      </x:c>
      <x:c r="G22" s="244" t="n">
        <x:f>'01 Tổng quan'!$B$4+(A22-1)*7</x:f>
        <x:v>46349</x:v>
      </x:c>
      <x:c r="H22" s="244" t="n">
        <x:f>G22+6</x:f>
        <x:v>46355</x:v>
      </x:c>
      <x:c r="I22" s="245" t="n">
        <x:v>15</x:v>
      </x:c>
      <x:c r="J22" s="245" t="n">
        <x:f>SUMIF('03 Kế hoạch tuần'!$A$5:$A$277,A22,'03 Kế hoạch tuần'!$I$5:$I$277)</x:f>
        <x:v>0</x:v>
      </x:c>
      <x:c r="K22" s="194" t="n">
        <x:f>IFERROR(COUNTIFS('03 Kế hoạch tuần'!$A$5:$A$277,A22,'03 Kế hoạch tuần'!$H$5:$H$277,"Hoàn thành")/COUNTIF('03 Kế hoạch tuần'!$A$5:$A$277,A22),0)</x:f>
        <x:v>0</x:v>
      </x:c>
      <x:c r="L22" s="194" t="n">
        <x:f>IFERROR(COUNTIFS('04 Checklist tuần'!$A$5:$A$238,A22,'04 Checklist tuần'!$D$5:$D$238,"Đạt")/COUNTIF('04 Checklist tuần'!$A$5:$A$238,A22),0)</x:f>
        <x:v>0</x:v>
      </x:c>
      <x:c r="M22" s="195" t="n">
        <x:f>ROUND(K22*50+L22*30+MIN(J22/I22,1)*20,0)</x:f>
        <x:v>0</x:v>
      </x:c>
      <x:c r="N22" s="158" t="str">
        <x:f>IF(AND(M22&gt;='01 Tổng quan'!$B$6,K22=1,L22=1),"Đạt",IF(M22&gt;=65,"Cần bổ sung","Không đạt"))</x:f>
        <x:v>Không đạt</x:v>
      </x:c>
      <x:c r="O22" s="158" t="str"/>
    </x:row>
    <x:row r="23" ht="72" customHeight="1">
      <x:c r="A23" s="158" t="n">
        <x:v>19</x:v>
      </x:c>
      <x:c r="B23" s="158" t="str">
        <x:v>Dự án ngân hàng số</x:v>
      </x:c>
      <x:c r="C23" s="158" t="str">
        <x:v>Kiến trúc dự án ngân hàng</x:v>
      </x:c>
      <x:c r="D23" s="158" t="str">
        <x:v>Service boundary, threat model, data ownership, synchronous/asynchronous flow và deployment view</x:v>
      </x:c>
      <x:c r="E23" s="158" t="str">
        <x:v>Khóa phạm vi dự án và kiến trúc đủ triển khai trong tám tuần</x:v>
      </x:c>
      <x:c r="F23" s="158" t="str">
        <x:v>C4 diagrams; ADR set; backlog; API contracts</x:v>
      </x:c>
      <x:c r="G23" s="244" t="n">
        <x:f>'01 Tổng quan'!$B$4+(A23-1)*7</x:f>
        <x:v>46356</x:v>
      </x:c>
      <x:c r="H23" s="244" t="n">
        <x:f>G23+6</x:f>
        <x:v>46362</x:v>
      </x:c>
      <x:c r="I23" s="245" t="n">
        <x:v>15</x:v>
      </x:c>
      <x:c r="J23" s="245" t="n">
        <x:f>SUMIF('03 Kế hoạch tuần'!$A$5:$A$277,A23,'03 Kế hoạch tuần'!$I$5:$I$277)</x:f>
        <x:v>0</x:v>
      </x:c>
      <x:c r="K23" s="194" t="n">
        <x:f>IFERROR(COUNTIFS('03 Kế hoạch tuần'!$A$5:$A$277,A23,'03 Kế hoạch tuần'!$H$5:$H$277,"Hoàn thành")/COUNTIF('03 Kế hoạch tuần'!$A$5:$A$277,A23),0)</x:f>
        <x:v>0</x:v>
      </x:c>
      <x:c r="L23" s="194" t="n">
        <x:f>IFERROR(COUNTIFS('04 Checklist tuần'!$A$5:$A$238,A23,'04 Checklist tuần'!$D$5:$D$238,"Đạt")/COUNTIF('04 Checklist tuần'!$A$5:$A$238,A23),0)</x:f>
        <x:v>0</x:v>
      </x:c>
      <x:c r="M23" s="195" t="n">
        <x:f>ROUND(K23*50+L23*30+MIN(J23/I23,1)*20,0)</x:f>
        <x:v>0</x:v>
      </x:c>
      <x:c r="N23" s="158" t="str">
        <x:f>IF(AND(M23&gt;='01 Tổng quan'!$B$6,K23=1,L23=1),"Đạt",IF(M23&gt;=65,"Cần bổ sung","Không đạt"))</x:f>
        <x:v>Không đạt</x:v>
      </x:c>
      <x:c r="O23" s="158" t="str"/>
    </x:row>
    <x:row r="24" ht="72" customHeight="1">
      <x:c r="A24" s="158" t="n">
        <x:v>20</x:v>
      </x:c>
      <x:c r="B24" s="158" t="str">
        <x:v>Dự án ngân hàng số</x:v>
      </x:c>
      <x:c r="C24" s="158" t="str">
        <x:v>Khách hàng và tài khoản</x:v>
      </x:c>
      <x:c r="D24" s="158" t="str">
        <x:v>Customer onboarding, account lifecycle, validation, API contract và audit fields</x:v>
      </x:c>
      <x:c r="E24" s="158" t="str">
        <x:v>Hoàn thành module khách hàng–tài khoản với API, dữ liệu và kiểm thử</x:v>
      </x:c>
      <x:c r="F24" s="158" t="str">
        <x:v>customer/account module; migration scripts; OpenAPI; tests</x:v>
      </x:c>
      <x:c r="G24" s="244" t="n">
        <x:f>'01 Tổng quan'!$B$4+(A24-1)*7</x:f>
        <x:v>46363</x:v>
      </x:c>
      <x:c r="H24" s="244" t="n">
        <x:f>G24+6</x:f>
        <x:v>46369</x:v>
      </x:c>
      <x:c r="I24" s="245" t="n">
        <x:v>15</x:v>
      </x:c>
      <x:c r="J24" s="245" t="n">
        <x:f>SUMIF('03 Kế hoạch tuần'!$A$5:$A$277,A24,'03 Kế hoạch tuần'!$I$5:$I$277)</x:f>
        <x:v>0</x:v>
      </x:c>
      <x:c r="K24" s="194" t="n">
        <x:f>IFERROR(COUNTIFS('03 Kế hoạch tuần'!$A$5:$A$277,A24,'03 Kế hoạch tuần'!$H$5:$H$277,"Hoàn thành")/COUNTIF('03 Kế hoạch tuần'!$A$5:$A$277,A24),0)</x:f>
        <x:v>0</x:v>
      </x:c>
      <x:c r="L24" s="194" t="n">
        <x:f>IFERROR(COUNTIFS('04 Checklist tuần'!$A$5:$A$238,A24,'04 Checklist tuần'!$D$5:$D$238,"Đạt")/COUNTIF('04 Checklist tuần'!$A$5:$A$238,A24),0)</x:f>
        <x:v>0</x:v>
      </x:c>
      <x:c r="M24" s="195" t="n">
        <x:f>ROUND(K24*50+L24*30+MIN(J24/I24,1)*20,0)</x:f>
        <x:v>0</x:v>
      </x:c>
      <x:c r="N24" s="158" t="str">
        <x:f>IF(AND(M24&gt;='01 Tổng quan'!$B$6,K24=1,L24=1),"Đạt",IF(M24&gt;=65,"Cần bổ sung","Không đạt"))</x:f>
        <x:v>Không đạt</x:v>
      </x:c>
      <x:c r="O24" s="158" t="str"/>
    </x:row>
    <x:row r="25" ht="72" customHeight="1">
      <x:c r="A25" s="158" t="n">
        <x:v>21</x:v>
      </x:c>
      <x:c r="B25" s="158" t="str">
        <x:v>Dự án ngân hàng số</x:v>
      </x:c>
      <x:c r="C25" s="158" t="str">
        <x:v>Sổ cái kép và tính bất biến</x:v>
      </x:c>
      <x:c r="D25" s="158" t="str">
        <x:v>Debit/credit, balanced transaction, immutable entry, reversal và balance derivation</x:v>
      </x:c>
      <x:c r="E25" s="158" t="str">
        <x:v>Ghi sổ kép bảo đảm tổng ghi nợ bằng tổng ghi có</x:v>
      </x:c>
      <x:c r="F25" s="158" t="str">
        <x:v>ledger module; reversal flow; invariant tests; ADR</x:v>
      </x:c>
      <x:c r="G25" s="244" t="n">
        <x:f>'01 Tổng quan'!$B$4+(A25-1)*7</x:f>
        <x:v>46370</x:v>
      </x:c>
      <x:c r="H25" s="244" t="n">
        <x:f>G25+6</x:f>
        <x:v>46376</x:v>
      </x:c>
      <x:c r="I25" s="245" t="n">
        <x:v>15</x:v>
      </x:c>
      <x:c r="J25" s="245" t="n">
        <x:f>SUMIF('03 Kế hoạch tuần'!$A$5:$A$277,A25,'03 Kế hoạch tuần'!$I$5:$I$277)</x:f>
        <x:v>0</x:v>
      </x:c>
      <x:c r="K25" s="194" t="n">
        <x:f>IFERROR(COUNTIFS('03 Kế hoạch tuần'!$A$5:$A$277,A25,'03 Kế hoạch tuần'!$H$5:$H$277,"Hoàn thành")/COUNTIF('03 Kế hoạch tuần'!$A$5:$A$277,A25),0)</x:f>
        <x:v>0</x:v>
      </x:c>
      <x:c r="L25" s="194" t="n">
        <x:f>IFERROR(COUNTIFS('04 Checklist tuần'!$A$5:$A$238,A25,'04 Checklist tuần'!$D$5:$D$238,"Đạt")/COUNTIF('04 Checklist tuần'!$A$5:$A$238,A25),0)</x:f>
        <x:v>0</x:v>
      </x:c>
      <x:c r="M25" s="195" t="n">
        <x:f>ROUND(K25*50+L25*30+MIN(J25/I25,1)*20,0)</x:f>
        <x:v>0</x:v>
      </x:c>
      <x:c r="N25" s="158" t="str">
        <x:f>IF(AND(M25&gt;='01 Tổng quan'!$B$6,K25=1,L25=1),"Đạt",IF(M25&gt;=65,"Cần bổ sung","Không đạt"))</x:f>
        <x:v>Không đạt</x:v>
      </x:c>
      <x:c r="O25" s="158" t="str"/>
    </x:row>
    <x:row r="26" ht="72" customHeight="1">
      <x:c r="A26" s="158" t="n">
        <x:v>22</x:v>
      </x:c>
      <x:c r="B26" s="158" t="str">
        <x:v>Dự án ngân hàng số</x:v>
      </x:c>
      <x:c r="C26" s="158" t="str">
        <x:v>Chuyển tiền, khóa và chống chi tiêu hai lần</x:v>
      </x:c>
      <x:c r="D26" s="158" t="str">
        <x:v>Transfer lifecycle, idempotency, optimistic/pessimistic locking, insufficient funds và concurrency testing</x:v>
      </x:c>
      <x:c r="E26" s="158" t="str">
        <x:v>Xử lý 100 yêu cầu đồng thời mà không tạo số dư âm hoặc giao dịch trùng</x:v>
      </x:c>
      <x:c r="F26" s="158" t="str">
        <x:v>transfer module; concurrency test; locking decision report</x:v>
      </x:c>
      <x:c r="G26" s="244" t="n">
        <x:f>'01 Tổng quan'!$B$4+(A26-1)*7</x:f>
        <x:v>46377</x:v>
      </x:c>
      <x:c r="H26" s="244" t="n">
        <x:f>G26+6</x:f>
        <x:v>46383</x:v>
      </x:c>
      <x:c r="I26" s="245" t="n">
        <x:v>15</x:v>
      </x:c>
      <x:c r="J26" s="245" t="n">
        <x:f>SUMIF('03 Kế hoạch tuần'!$A$5:$A$277,A26,'03 Kế hoạch tuần'!$I$5:$I$277)</x:f>
        <x:v>0</x:v>
      </x:c>
      <x:c r="K26" s="194" t="n">
        <x:f>IFERROR(COUNTIFS('03 Kế hoạch tuần'!$A$5:$A$277,A26,'03 Kế hoạch tuần'!$H$5:$H$277,"Hoàn thành")/COUNTIF('03 Kế hoạch tuần'!$A$5:$A$277,A26),0)</x:f>
        <x:v>0</x:v>
      </x:c>
      <x:c r="L26" s="194" t="n">
        <x:f>IFERROR(COUNTIFS('04 Checklist tuần'!$A$5:$A$238,A26,'04 Checklist tuần'!$D$5:$D$238,"Đạt")/COUNTIF('04 Checklist tuần'!$A$5:$A$238,A26),0)</x:f>
        <x:v>0</x:v>
      </x:c>
      <x:c r="M26" s="195" t="n">
        <x:f>ROUND(K26*50+L26*30+MIN(J26/I26,1)*20,0)</x:f>
        <x:v>0</x:v>
      </x:c>
      <x:c r="N26" s="158" t="str">
        <x:f>IF(AND(M26&gt;='01 Tổng quan'!$B$6,K26=1,L26=1),"Đạt",IF(M26&gt;=65,"Cần bổ sung","Không đạt"))</x:f>
        <x:v>Không đạt</x:v>
      </x:c>
      <x:c r="O26" s="158" t="str"/>
    </x:row>
    <x:row r="27" ht="72" customHeight="1">
      <x:c r="A27" s="158" t="n">
        <x:v>23</x:v>
      </x:c>
      <x:c r="B27" s="158" t="str">
        <x:v>Dự án ngân hàng số</x:v>
      </x:c>
      <x:c r="C27" s="158" t="str">
        <x:v>Outbox và sự kiện giao dịch</x:v>
      </x:c>
      <x:c r="D27" s="158" t="str">
        <x:v>TransactionCreated/Completed/Failed events, outbox polling, idempotent consumer và replay</x:v>
      </x:c>
      <x:c r="E27" s="158" t="str">
        <x:v>Công bố sự kiện giao dịch tin cậy và xây consumer thông báo giả lập</x:v>
      </x:c>
      <x:c r="F27" s="158" t="str">
        <x:v>outbox publisher; Kafka topics; notification consumer; recovery tests</x:v>
      </x:c>
      <x:c r="G27" s="244" t="n">
        <x:f>'01 Tổng quan'!$B$4+(A27-1)*7</x:f>
        <x:v>46384</x:v>
      </x:c>
      <x:c r="H27" s="244" t="n">
        <x:f>G27+6</x:f>
        <x:v>46390</x:v>
      </x:c>
      <x:c r="I27" s="245" t="n">
        <x:v>15</x:v>
      </x:c>
      <x:c r="J27" s="245" t="n">
        <x:f>SUMIF('03 Kế hoạch tuần'!$A$5:$A$277,A27,'03 Kế hoạch tuần'!$I$5:$I$277)</x:f>
        <x:v>0</x:v>
      </x:c>
      <x:c r="K27" s="194" t="n">
        <x:f>IFERROR(COUNTIFS('03 Kế hoạch tuần'!$A$5:$A$277,A27,'03 Kế hoạch tuần'!$H$5:$H$277,"Hoàn thành")/COUNTIF('03 Kế hoạch tuần'!$A$5:$A$277,A27),0)</x:f>
        <x:v>0</x:v>
      </x:c>
      <x:c r="L27" s="194" t="n">
        <x:f>IFERROR(COUNTIFS('04 Checklist tuần'!$A$5:$A$238,A27,'04 Checklist tuần'!$D$5:$D$238,"Đạt")/COUNTIF('04 Checklist tuần'!$A$5:$A$238,A27),0)</x:f>
        <x:v>0</x:v>
      </x:c>
      <x:c r="M27" s="195" t="n">
        <x:f>ROUND(K27*50+L27*30+MIN(J27/I27,1)*20,0)</x:f>
        <x:v>0</x:v>
      </x:c>
      <x:c r="N27" s="158" t="str">
        <x:f>IF(AND(M27&gt;='01 Tổng quan'!$B$6,K27=1,L27=1),"Đạt",IF(M27&gt;=65,"Cần bổ sung","Không đạt"))</x:f>
        <x:v>Không đạt</x:v>
      </x:c>
      <x:c r="O27" s="158" t="str"/>
    </x:row>
    <x:row r="28" ht="72" customHeight="1">
      <x:c r="A28" s="158" t="n">
        <x:v>24</x:v>
      </x:c>
      <x:c r="B28" s="158" t="str">
        <x:v>Dự án ngân hàng số</x:v>
      </x:c>
      <x:c r="C28" s="158" t="str">
        <x:v>Bảo mật và nhật ký kiểm toán</x:v>
      </x:c>
      <x:c r="D28" s="158" t="str">
        <x:v>RBAC, ownership authorization, audit trail, sensitive data handling và abuse cases</x:v>
      </x:c>
      <x:c r="E28" s="158" t="str">
        <x:v>Hoàn thiện lớp bảo mật và truy vết mọi thao tác nhạy cảm</x:v>
      </x:c>
      <x:c r="F28" s="158" t="str">
        <x:v>security policies; audit module; security tests; threat model update</x:v>
      </x:c>
      <x:c r="G28" s="244" t="n">
        <x:f>'01 Tổng quan'!$B$4+(A28-1)*7</x:f>
        <x:v>46391</x:v>
      </x:c>
      <x:c r="H28" s="244" t="n">
        <x:f>G28+6</x:f>
        <x:v>46397</x:v>
      </x:c>
      <x:c r="I28" s="245" t="n">
        <x:v>15</x:v>
      </x:c>
      <x:c r="J28" s="245" t="n">
        <x:f>SUMIF('03 Kế hoạch tuần'!$A$5:$A$277,A28,'03 Kế hoạch tuần'!$I$5:$I$277)</x:f>
        <x:v>0</x:v>
      </x:c>
      <x:c r="K28" s="194" t="n">
        <x:f>IFERROR(COUNTIFS('03 Kế hoạch tuần'!$A$5:$A$277,A28,'03 Kế hoạch tuần'!$H$5:$H$277,"Hoàn thành")/COUNTIF('03 Kế hoạch tuần'!$A$5:$A$277,A28),0)</x:f>
        <x:v>0</x:v>
      </x:c>
      <x:c r="L28" s="194" t="n">
        <x:f>IFERROR(COUNTIFS('04 Checklist tuần'!$A$5:$A$238,A28,'04 Checklist tuần'!$D$5:$D$238,"Đạt")/COUNTIF('04 Checklist tuần'!$A$5:$A$238,A28),0)</x:f>
        <x:v>0</x:v>
      </x:c>
      <x:c r="M28" s="195" t="n">
        <x:f>ROUND(K28*50+L28*30+MIN(J28/I28,1)*20,0)</x:f>
        <x:v>0</x:v>
      </x:c>
      <x:c r="N28" s="158" t="str">
        <x:f>IF(AND(M28&gt;='01 Tổng quan'!$B$6,K28=1,L28=1),"Đạt",IF(M28&gt;=65,"Cần bổ sung","Không đạt"))</x:f>
        <x:v>Không đạt</x:v>
      </x:c>
      <x:c r="O28" s="158" t="str"/>
    </x:row>
    <x:row r="29" ht="72" customHeight="1">
      <x:c r="A29" s="158" t="n">
        <x:v>25</x:v>
      </x:c>
      <x:c r="B29" s="158" t="str">
        <x:v>Dự án ngân hàng số</x:v>
      </x:c>
      <x:c r="C29" s="158" t="str">
        <x:v>Kiểm thử tải và khả năng quan sát</x:v>
      </x:c>
      <x:c r="D29" s="158" t="str">
        <x:v>Workload model, latency percentile, throughput, saturation, error budget và bottleneck analysis</x:v>
      </x:c>
      <x:c r="E29" s="158" t="str">
        <x:v>Đạt tải mục tiêu tự đặt và chứng minh hệ thống không mất tính đúng đắn</x:v>
      </x:c>
      <x:c r="F29" s="158" t="str">
        <x:v>k6 scripts; load report; dashboard; tuning log</x:v>
      </x:c>
      <x:c r="G29" s="244" t="n">
        <x:f>'01 Tổng quan'!$B$4+(A29-1)*7</x:f>
        <x:v>46398</x:v>
      </x:c>
      <x:c r="H29" s="244" t="n">
        <x:f>G29+6</x:f>
        <x:v>46404</x:v>
      </x:c>
      <x:c r="I29" s="245" t="n">
        <x:v>15</x:v>
      </x:c>
      <x:c r="J29" s="245" t="n">
        <x:f>SUMIF('03 Kế hoạch tuần'!$A$5:$A$277,A29,'03 Kế hoạch tuần'!$I$5:$I$277)</x:f>
        <x:v>0</x:v>
      </x:c>
      <x:c r="K29" s="194" t="n">
        <x:f>IFERROR(COUNTIFS('03 Kế hoạch tuần'!$A$5:$A$277,A29,'03 Kế hoạch tuần'!$H$5:$H$277,"Hoàn thành")/COUNTIF('03 Kế hoạch tuần'!$A$5:$A$277,A29),0)</x:f>
        <x:v>0</x:v>
      </x:c>
      <x:c r="L29" s="194" t="n">
        <x:f>IFERROR(COUNTIFS('04 Checklist tuần'!$A$5:$A$238,A29,'04 Checklist tuần'!$D$5:$D$238,"Đạt")/COUNTIF('04 Checklist tuần'!$A$5:$A$238,A29),0)</x:f>
        <x:v>0</x:v>
      </x:c>
      <x:c r="M29" s="195" t="n">
        <x:f>ROUND(K29*50+L29*30+MIN(J29/I29,1)*20,0)</x:f>
        <x:v>0</x:v>
      </x:c>
      <x:c r="N29" s="158" t="str">
        <x:f>IF(AND(M29&gt;='01 Tổng quan'!$B$6,K29=1,L29=1),"Đạt",IF(M29&gt;=65,"Cần bổ sung","Không đạt"))</x:f>
        <x:v>Không đạt</x:v>
      </x:c>
      <x:c r="O29" s="158" t="str"/>
    </x:row>
    <x:row r="30" ht="72" customHeight="1">
      <x:c r="A30" s="158" t="n">
        <x:v>26</x:v>
      </x:c>
      <x:c r="B30" s="158" t="str">
        <x:v>Dự án ngân hàng số</x:v>
      </x:c>
      <x:c r="C30" s="158" t="str">
        <x:v>Triển khai, tài liệu và trình diễn dự án 1</x:v>
      </x:c>
      <x:c r="D30" s="158" t="str">
        <x:v>Deployment checklist, backup, rollback, runbook, architecture narrative và demo storytelling</x:v>
      </x:c>
      <x:c r="E30" s="158" t="str">
        <x:v>Triển khai bản dùng thử trên cloud chi phí thấp và trình diễn trong 15 phút</x:v>
      </x:c>
      <x:c r="F30" s="158" t="str">
        <x:v>deployment URL; English README; runbook; demo video; release v1.0</x:v>
      </x:c>
      <x:c r="G30" s="244" t="n">
        <x:f>'01 Tổng quan'!$B$4+(A30-1)*7</x:f>
        <x:v>46405</x:v>
      </x:c>
      <x:c r="H30" s="244" t="n">
        <x:f>G30+6</x:f>
        <x:v>46411</x:v>
      </x:c>
      <x:c r="I30" s="245" t="n">
        <x:v>15</x:v>
      </x:c>
      <x:c r="J30" s="245" t="n">
        <x:f>SUMIF('03 Kế hoạch tuần'!$A$5:$A$277,A30,'03 Kế hoạch tuần'!$I$5:$I$277)</x:f>
        <x:v>0</x:v>
      </x:c>
      <x:c r="K30" s="194" t="n">
        <x:f>IFERROR(COUNTIFS('03 Kế hoạch tuần'!$A$5:$A$277,A30,'03 Kế hoạch tuần'!$H$5:$H$277,"Hoàn thành")/COUNTIF('03 Kế hoạch tuần'!$A$5:$A$277,A30),0)</x:f>
        <x:v>0</x:v>
      </x:c>
      <x:c r="L30" s="194" t="n">
        <x:f>IFERROR(COUNTIFS('04 Checklist tuần'!$A$5:$A$238,A30,'04 Checklist tuần'!$D$5:$D$238,"Đạt")/COUNTIF('04 Checklist tuần'!$A$5:$A$238,A30),0)</x:f>
        <x:v>0</x:v>
      </x:c>
      <x:c r="M30" s="195" t="n">
        <x:f>ROUND(K30*50+L30*30+MIN(J30/I30,1)*20,0)</x:f>
        <x:v>0</x:v>
      </x:c>
      <x:c r="N30" s="158" t="str">
        <x:f>IF(AND(M30&gt;='01 Tổng quan'!$B$6,K30=1,L30=1),"Đạt",IF(M30&gt;=65,"Cần bổ sung","Không đạt"))</x:f>
        <x:v>Không đạt</x:v>
      </x:c>
      <x:c r="O30" s="158" t="str"/>
    </x:row>
    <x:row r="31" ht="72" customHeight="1">
      <x:c r="A31" s="158" t="n">
        <x:v>27</x:v>
      </x:c>
      <x:c r="B31" s="158" t="str">
        <x:v>Dự án đầu tư</x:v>
      </x:c>
      <x:c r="C31" s="158" t="str">
        <x:v>Nghiệp vụ danh mục và dữ liệu thị trường</x:v>
      </x:c>
      <x:c r="D31" s="158" t="str">
        <x:v>Instrument, quote, trade, position, portfolio, market value, realized/unrealized P&amp;L và corporate action boundary</x:v>
      </x:c>
      <x:c r="E31" s="158" t="str">
        <x:v>Hoàn thành từ điển nghiệp vụ và công thức định giá phạm vi dự án</x:v>
      </x:c>
      <x:c r="F31" s="158" t="str">
        <x:v>domain glossary; formulas; sample scenarios; context map</x:v>
      </x:c>
      <x:c r="G31" s="244" t="n">
        <x:f>'01 Tổng quan'!$B$4+(A31-1)*7</x:f>
        <x:v>46412</x:v>
      </x:c>
      <x:c r="H31" s="244" t="n">
        <x:f>G31+6</x:f>
        <x:v>46418</x:v>
      </x:c>
      <x:c r="I31" s="245" t="n">
        <x:v>15</x:v>
      </x:c>
      <x:c r="J31" s="245" t="n">
        <x:f>SUMIF('03 Kế hoạch tuần'!$A$5:$A$277,A31,'03 Kế hoạch tuần'!$I$5:$I$277)</x:f>
        <x:v>0</x:v>
      </x:c>
      <x:c r="K31" s="194" t="n">
        <x:f>IFERROR(COUNTIFS('03 Kế hoạch tuần'!$A$5:$A$277,A31,'03 Kế hoạch tuần'!$H$5:$H$277,"Hoàn thành")/COUNTIF('03 Kế hoạch tuần'!$A$5:$A$277,A31),0)</x:f>
        <x:v>0</x:v>
      </x:c>
      <x:c r="L31" s="194" t="n">
        <x:f>IFERROR(COUNTIFS('04 Checklist tuần'!$A$5:$A$238,A31,'04 Checklist tuần'!$D$5:$D$238,"Đạt")/COUNTIF('04 Checklist tuần'!$A$5:$A$238,A31),0)</x:f>
        <x:v>0</x:v>
      </x:c>
      <x:c r="M31" s="195" t="n">
        <x:f>ROUND(K31*50+L31*30+MIN(J31/I31,1)*20,0)</x:f>
        <x:v>0</x:v>
      </x:c>
      <x:c r="N31" s="158" t="str">
        <x:f>IF(AND(M31&gt;='01 Tổng quan'!$B$6,K31=1,L31=1),"Đạt",IF(M31&gt;=65,"Cần bổ sung","Không đạt"))</x:f>
        <x:v>Không đạt</x:v>
      </x:c>
      <x:c r="O31" s="158" t="str"/>
    </x:row>
    <x:row r="32" ht="72" customHeight="1">
      <x:c r="A32" s="158" t="n">
        <x:v>28</x:v>
      </x:c>
      <x:c r="B32" s="158" t="str">
        <x:v>Dự án đầu tư</x:v>
      </x:c>
      <x:c r="C32" s="158" t="str">
        <x:v>Kiến trúc tiếp nhận dữ liệu thị trường</x:v>
      </x:c>
      <x:c r="D32" s="158" t="str">
        <x:v>Ingestion adapter, canonical event, partition key, data freshness, backpressure và service boundary</x:v>
      </x:c>
      <x:c r="E32" s="158" t="str">
        <x:v>Thiết kế kiến trúc dự án 2 và bộ phát giá mô phỏng</x:v>
      </x:c>
      <x:c r="F32" s="158" t="str">
        <x:v>C4 diagrams; event schema; simulator; ADR set</x:v>
      </x:c>
      <x:c r="G32" s="244" t="n">
        <x:f>'01 Tổng quan'!$B$4+(A32-1)*7</x:f>
        <x:v>46419</x:v>
      </x:c>
      <x:c r="H32" s="244" t="n">
        <x:f>G32+6</x:f>
        <x:v>46425</x:v>
      </x:c>
      <x:c r="I32" s="245" t="n">
        <x:v>15</x:v>
      </x:c>
      <x:c r="J32" s="245" t="n">
        <x:f>SUMIF('03 Kế hoạch tuần'!$A$5:$A$277,A32,'03 Kế hoạch tuần'!$I$5:$I$277)</x:f>
        <x:v>0</x:v>
      </x:c>
      <x:c r="K32" s="194" t="n">
        <x:f>IFERROR(COUNTIFS('03 Kế hoạch tuần'!$A$5:$A$277,A32,'03 Kế hoạch tuần'!$H$5:$H$277,"Hoàn thành")/COUNTIF('03 Kế hoạch tuần'!$A$5:$A$277,A32),0)</x:f>
        <x:v>0</x:v>
      </x:c>
      <x:c r="L32" s="194" t="n">
        <x:f>IFERROR(COUNTIFS('04 Checklist tuần'!$A$5:$A$238,A32,'04 Checklist tuần'!$D$5:$D$238,"Đạt")/COUNTIF('04 Checklist tuần'!$A$5:$A$238,A32),0)</x:f>
        <x:v>0</x:v>
      </x:c>
      <x:c r="M32" s="195" t="n">
        <x:f>ROUND(K32*50+L32*30+MIN(J32/I32,1)*20,0)</x:f>
        <x:v>0</x:v>
      </x:c>
      <x:c r="N32" s="158" t="str">
        <x:f>IF(AND(M32&gt;='01 Tổng quan'!$B$6,K32=1,L32=1),"Đạt",IF(M32&gt;=65,"Cần bổ sung","Không đạt"))</x:f>
        <x:v>Không đạt</x:v>
      </x:c>
      <x:c r="O32" s="158" t="str"/>
    </x:row>
    <x:row r="33" ht="72" customHeight="1">
      <x:c r="A33" s="158" t="n">
        <x:v>29</x:v>
      </x:c>
      <x:c r="B33" s="158" t="str">
        <x:v>Dự án đầu tư</x:v>
      </x:c>
      <x:c r="C33" s="158" t="str">
        <x:v>Kafka và xử lý luồng giá</x:v>
      </x:c>
      <x:c r="D33" s="158" t="str">
        <x:v>High-throughput producer, consumer scaling, ordering, deduplication, lag và replay</x:v>
      </x:c>
      <x:c r="E33" s="158" t="str">
        <x:v>Xử lý ổn định tối thiểu 10.000 sự kiện giá mô phỏng mỗi phút</x:v>
      </x:c>
      <x:c r="F33" s="158" t="str">
        <x:v>market-data pipeline; throughput report; replay tool</x:v>
      </x:c>
      <x:c r="G33" s="244" t="n">
        <x:f>'01 Tổng quan'!$B$4+(A33-1)*7</x:f>
        <x:v>46426</x:v>
      </x:c>
      <x:c r="H33" s="244" t="n">
        <x:f>G33+6</x:f>
        <x:v>46432</x:v>
      </x:c>
      <x:c r="I33" s="245" t="n">
        <x:v>15</x:v>
      </x:c>
      <x:c r="J33" s="245" t="n">
        <x:f>SUMIF('03 Kế hoạch tuần'!$A$5:$A$277,A33,'03 Kế hoạch tuần'!$I$5:$I$277)</x:f>
        <x:v>0</x:v>
      </x:c>
      <x:c r="K33" s="194" t="n">
        <x:f>IFERROR(COUNTIFS('03 Kế hoạch tuần'!$A$5:$A$277,A33,'03 Kế hoạch tuần'!$H$5:$H$277,"Hoàn thành")/COUNTIF('03 Kế hoạch tuần'!$A$5:$A$277,A33),0)</x:f>
        <x:v>0</x:v>
      </x:c>
      <x:c r="L33" s="194" t="n">
        <x:f>IFERROR(COUNTIFS('04 Checklist tuần'!$A$5:$A$238,A33,'04 Checklist tuần'!$D$5:$D$238,"Đạt")/COUNTIF('04 Checklist tuần'!$A$5:$A$238,A33),0)</x:f>
        <x:v>0</x:v>
      </x:c>
      <x:c r="M33" s="195" t="n">
        <x:f>ROUND(K33*50+L33*30+MIN(J33/I33,1)*20,0)</x:f>
        <x:v>0</x:v>
      </x:c>
      <x:c r="N33" s="158" t="str">
        <x:f>IF(AND(M33&gt;='01 Tổng quan'!$B$6,K33=1,L33=1),"Đạt",IF(M33&gt;=65,"Cần bổ sung","Không đạt"))</x:f>
        <x:v>Không đạt</x:v>
      </x:c>
      <x:c r="O33" s="158" t="str"/>
    </x:row>
    <x:row r="34" ht="72" customHeight="1">
      <x:c r="A34" s="158" t="n">
        <x:v>30</x:v>
      </x:c>
      <x:c r="B34" s="158" t="str">
        <x:v>Dự án đầu tư</x:v>
      </x:c>
      <x:c r="C34" s="158" t="str">
        <x:v>Redis và WebSocket gần thời gian thực</x:v>
      </x:c>
      <x:c r="D34" s="158" t="str">
        <x:v>Latest-price cache, pub/sub boundary, WebSocket session, subscription management và slow consumer</x:v>
      </x:c>
      <x:c r="E34" s="158" t="str">
        <x:v>Cung cấp giá gần nhất qua REST và cập nhật trực tiếp qua WebSocket</x:v>
      </x:c>
      <x:c r="F34" s="158" t="str">
        <x:v>price cache; WebSocket endpoint; subscription tests; latency report</x:v>
      </x:c>
      <x:c r="G34" s="244" t="n">
        <x:f>'01 Tổng quan'!$B$4+(A34-1)*7</x:f>
        <x:v>46433</x:v>
      </x:c>
      <x:c r="H34" s="244" t="n">
        <x:f>G34+6</x:f>
        <x:v>46439</x:v>
      </x:c>
      <x:c r="I34" s="245" t="n">
        <x:v>15</x:v>
      </x:c>
      <x:c r="J34" s="245" t="n">
        <x:f>SUMIF('03 Kế hoạch tuần'!$A$5:$A$277,A34,'03 Kế hoạch tuần'!$I$5:$I$277)</x:f>
        <x:v>0</x:v>
      </x:c>
      <x:c r="K34" s="194" t="n">
        <x:f>IFERROR(COUNTIFS('03 Kế hoạch tuần'!$A$5:$A$277,A34,'03 Kế hoạch tuần'!$H$5:$H$277,"Hoàn thành")/COUNTIF('03 Kế hoạch tuần'!$A$5:$A$277,A34),0)</x:f>
        <x:v>0</x:v>
      </x:c>
      <x:c r="L34" s="194" t="n">
        <x:f>IFERROR(COUNTIFS('04 Checklist tuần'!$A$5:$A$238,A34,'04 Checklist tuần'!$D$5:$D$238,"Đạt")/COUNTIF('04 Checklist tuần'!$A$5:$A$238,A34),0)</x:f>
        <x:v>0</x:v>
      </x:c>
      <x:c r="M34" s="195" t="n">
        <x:f>ROUND(K34*50+L34*30+MIN(J34/I34,1)*20,0)</x:f>
        <x:v>0</x:v>
      </x:c>
      <x:c r="N34" s="158" t="str">
        <x:f>IF(AND(M34&gt;='01 Tổng quan'!$B$6,K34=1,L34=1),"Đạt",IF(M34&gt;=65,"Cần bổ sung","Không đạt"))</x:f>
        <x:v>Không đạt</x:v>
      </x:c>
      <x:c r="O34" s="158" t="str"/>
    </x:row>
    <x:row r="35" ht="72" customHeight="1">
      <x:c r="A35" s="158" t="n">
        <x:v>31</x:v>
      </x:c>
      <x:c r="B35" s="158" t="str">
        <x:v>Dự án đầu tư</x:v>
      </x:c>
      <x:c r="C35" s="158" t="str">
        <x:v>Danh mục, vị thế và lãi/lỗ</x:v>
      </x:c>
      <x:c r="D35" s="158" t="str">
        <x:v>Position aggregation, weighted average cost, valuation, FX boundary và consistency between trades/prices</x:v>
      </x:c>
      <x:c r="E35" s="158" t="str">
        <x:v>Tính đúng vị thế, giá trị danh mục và lãi/lỗ từ dữ liệu mẫu</x:v>
      </x:c>
      <x:c r="F35" s="158" t="str">
        <x:v>portfolio service; calculation tests; reconciliation report</x:v>
      </x:c>
      <x:c r="G35" s="244" t="n">
        <x:f>'01 Tổng quan'!$B$4+(A35-1)*7</x:f>
        <x:v>46440</x:v>
      </x:c>
      <x:c r="H35" s="244" t="n">
        <x:f>G35+6</x:f>
        <x:v>46446</x:v>
      </x:c>
      <x:c r="I35" s="245" t="n">
        <x:v>15</x:v>
      </x:c>
      <x:c r="J35" s="245" t="n">
        <x:f>SUMIF('03 Kế hoạch tuần'!$A$5:$A$277,A35,'03 Kế hoạch tuần'!$I$5:$I$277)</x:f>
        <x:v>0</x:v>
      </x:c>
      <x:c r="K35" s="194" t="n">
        <x:f>IFERROR(COUNTIFS('03 Kế hoạch tuần'!$A$5:$A$277,A35,'03 Kế hoạch tuần'!$H$5:$H$277,"Hoàn thành")/COUNTIF('03 Kế hoạch tuần'!$A$5:$A$277,A35),0)</x:f>
        <x:v>0</x:v>
      </x:c>
      <x:c r="L35" s="194" t="n">
        <x:f>IFERROR(COUNTIFS('04 Checklist tuần'!$A$5:$A$238,A35,'04 Checklist tuần'!$D$5:$D$238,"Đạt")/COUNTIF('04 Checklist tuần'!$A$5:$A$238,A35),0)</x:f>
        <x:v>0</x:v>
      </x:c>
      <x:c r="M35" s="195" t="n">
        <x:f>ROUND(K35*50+L35*30+MIN(J35/I35,1)*20,0)</x:f>
        <x:v>0</x:v>
      </x:c>
      <x:c r="N35" s="158" t="str">
        <x:f>IF(AND(M35&gt;='01 Tổng quan'!$B$6,K35=1,L35=1),"Đạt",IF(M35&gt;=65,"Cần bổ sung","Không đạt"))</x:f>
        <x:v>Không đạt</x:v>
      </x:c>
      <x:c r="O35" s="158" t="str"/>
    </x:row>
    <x:row r="36" ht="72" customHeight="1">
      <x:c r="A36" s="158" t="n">
        <x:v>32</x:v>
      </x:c>
      <x:c r="B36" s="158" t="str">
        <x:v>Dự án đầu tư</x:v>
      </x:c>
      <x:c r="C36" s="158" t="str">
        <x:v>Chịu lỗi, kiểm thử tải và triển khai dự án 2</x:v>
      </x:c>
      <x:c r="D36" s="158" t="str">
        <x:v>Failure injection, stale data, reconnect, replay, observability, cloud deployment và demo narrative</x:v>
      </x:c>
      <x:c r="E36" s="158" t="str">
        <x:v>Triển khai bản dùng thử ổn định và trình diễn dữ liệu thời gian thực</x:v>
      </x:c>
      <x:c r="F36" s="158" t="str">
        <x:v>deployment URL; dashboards; load/failure report; English README; demo</x:v>
      </x:c>
      <x:c r="G36" s="244" t="n">
        <x:f>'01 Tổng quan'!$B$4+(A36-1)*7</x:f>
        <x:v>46447</x:v>
      </x:c>
      <x:c r="H36" s="244" t="n">
        <x:f>G36+6</x:f>
        <x:v>46453</x:v>
      </x:c>
      <x:c r="I36" s="245" t="n">
        <x:v>15</x:v>
      </x:c>
      <x:c r="J36" s="245" t="n">
        <x:f>SUMIF('03 Kế hoạch tuần'!$A$5:$A$277,A36,'03 Kế hoạch tuần'!$I$5:$I$277)</x:f>
        <x:v>0</x:v>
      </x:c>
      <x:c r="K36" s="194" t="n">
        <x:f>IFERROR(COUNTIFS('03 Kế hoạch tuần'!$A$5:$A$277,A36,'03 Kế hoạch tuần'!$H$5:$H$277,"Hoàn thành")/COUNTIF('03 Kế hoạch tuần'!$A$5:$A$277,A36),0)</x:f>
        <x:v>0</x:v>
      </x:c>
      <x:c r="L36" s="194" t="n">
        <x:f>IFERROR(COUNTIFS('04 Checklist tuần'!$A$5:$A$238,A36,'04 Checklist tuần'!$D$5:$D$238,"Đạt")/COUNTIF('04 Checklist tuần'!$A$5:$A$238,A36),0)</x:f>
        <x:v>0</x:v>
      </x:c>
      <x:c r="M36" s="195" t="n">
        <x:f>ROUND(K36*50+L36*30+MIN(J36/I36,1)*20,0)</x:f>
        <x:v>0</x:v>
      </x:c>
      <x:c r="N36" s="158" t="str">
        <x:f>IF(AND(M36&gt;='01 Tổng quan'!$B$6,K36=1,L36=1),"Đạt",IF(M36&gt;=65,"Cần bổ sung","Không đạt"))</x:f>
        <x:v>Không đạt</x:v>
      </x:c>
      <x:c r="O36" s="158" t="str"/>
    </x:row>
    <x:row r="37" ht="72" customHeight="1">
      <x:c r="A37" s="158" t="n">
        <x:v>33</x:v>
      </x:c>
      <x:c r="B37" s="158" t="str">
        <x:v>Phỏng vấn và hồ sơ</x:v>
      </x:c>
      <x:c r="C37" s="158" t="str">
        <x:v>Thiết kế hệ thống ngân hàng</x:v>
      </x:c>
      <x:c r="D37" s="158" t="str">
        <x:v>Requirement clarification, capacity estimate, API/data model, consistency, security, failure handling và trade-off</x:v>
      </x:c>
      <x:c r="E37" s="158" t="str">
        <x:v>Hoàn thành ba bài thiết kế: chuyển tiền, sổ cái và đối soát</x:v>
      </x:c>
      <x:c r="F37" s="158" t="str">
        <x:v>3 design packets; 3 recordings; feedback log</x:v>
      </x:c>
      <x:c r="G37" s="244" t="n">
        <x:f>'01 Tổng quan'!$B$4+(A37-1)*7</x:f>
        <x:v>46454</x:v>
      </x:c>
      <x:c r="H37" s="244" t="n">
        <x:f>G37+6</x:f>
        <x:v>46460</x:v>
      </x:c>
      <x:c r="I37" s="245" t="n">
        <x:v>15</x:v>
      </x:c>
      <x:c r="J37" s="245" t="n">
        <x:f>SUMIF('03 Kế hoạch tuần'!$A$5:$A$277,A37,'03 Kế hoạch tuần'!$I$5:$I$277)</x:f>
        <x:v>0</x:v>
      </x:c>
      <x:c r="K37" s="194" t="n">
        <x:f>IFERROR(COUNTIFS('03 Kế hoạch tuần'!$A$5:$A$277,A37,'03 Kế hoạch tuần'!$H$5:$H$277,"Hoàn thành")/COUNTIF('03 Kế hoạch tuần'!$A$5:$A$277,A37),0)</x:f>
        <x:v>0</x:v>
      </x:c>
      <x:c r="L37" s="194" t="n">
        <x:f>IFERROR(COUNTIFS('04 Checklist tuần'!$A$5:$A$238,A37,'04 Checklist tuần'!$D$5:$D$238,"Đạt")/COUNTIF('04 Checklist tuần'!$A$5:$A$238,A37),0)</x:f>
        <x:v>0</x:v>
      </x:c>
      <x:c r="M37" s="195" t="n">
        <x:f>ROUND(K37*50+L37*30+MIN(J37/I37,1)*20,0)</x:f>
        <x:v>0</x:v>
      </x:c>
      <x:c r="N37" s="158" t="str">
        <x:f>IF(AND(M37&gt;='01 Tổng quan'!$B$6,K37=1,L37=1),"Đạt",IF(M37&gt;=65,"Cần bổ sung","Không đạt"))</x:f>
        <x:v>Không đạt</x:v>
      </x:c>
      <x:c r="O37" s="158" t="str"/>
    </x:row>
    <x:row r="38" ht="72" customHeight="1">
      <x:c r="A38" s="158" t="n">
        <x:v>34</x:v>
      </x:c>
      <x:c r="B38" s="158" t="str">
        <x:v>Phỏng vấn và hồ sơ</x:v>
      </x:c>
      <x:c r="C38" s="158" t="str">
        <x:v>Thiết kế hệ thống phân tán</x:v>
      </x:c>
      <x:c r="D38" s="158" t="str">
        <x:v>Market data, notification, rate limiter, event pipeline, multi-region boundary và observability</x:v>
      </x:c>
      <x:c r="E38" s="158" t="str">
        <x:v>Hoàn thành ba bài thiết kế hệ thống phân tán bằng tiếng Anh</x:v>
      </x:c>
      <x:c r="F38" s="158" t="str">
        <x:v>3 English design packets; recordings; trade-off matrix</x:v>
      </x:c>
      <x:c r="G38" s="244" t="n">
        <x:f>'01 Tổng quan'!$B$4+(A38-1)*7</x:f>
        <x:v>46461</x:v>
      </x:c>
      <x:c r="H38" s="244" t="n">
        <x:f>G38+6</x:f>
        <x:v>46467</x:v>
      </x:c>
      <x:c r="I38" s="245" t="n">
        <x:v>15</x:v>
      </x:c>
      <x:c r="J38" s="245" t="n">
        <x:f>SUMIF('03 Kế hoạch tuần'!$A$5:$A$277,A38,'03 Kế hoạch tuần'!$I$5:$I$277)</x:f>
        <x:v>0</x:v>
      </x:c>
      <x:c r="K38" s="194" t="n">
        <x:f>IFERROR(COUNTIFS('03 Kế hoạch tuần'!$A$5:$A$277,A38,'03 Kế hoạch tuần'!$H$5:$H$277,"Hoàn thành")/COUNTIF('03 Kế hoạch tuần'!$A$5:$A$277,A38),0)</x:f>
        <x:v>0</x:v>
      </x:c>
      <x:c r="L38" s="194" t="n">
        <x:f>IFERROR(COUNTIFS('04 Checklist tuần'!$A$5:$A$238,A38,'04 Checklist tuần'!$D$5:$D$238,"Đạt")/COUNTIF('04 Checklist tuần'!$A$5:$A$238,A38),0)</x:f>
        <x:v>0</x:v>
      </x:c>
      <x:c r="M38" s="195" t="n">
        <x:f>ROUND(K38*50+L38*30+MIN(J38/I38,1)*20,0)</x:f>
        <x:v>0</x:v>
      </x:c>
      <x:c r="N38" s="158" t="str">
        <x:f>IF(AND(M38&gt;='01 Tổng quan'!$B$6,K38=1,L38=1),"Đạt",IF(M38&gt;=65,"Cần bổ sung","Không đạt"))</x:f>
        <x:v>Không đạt</x:v>
      </x:c>
      <x:c r="O38" s="158" t="str"/>
    </x:row>
    <x:row r="39" ht="72" customHeight="1">
      <x:c r="A39" s="158" t="n">
        <x:v>35</x:v>
      </x:c>
      <x:c r="B39" s="158" t="str">
        <x:v>Phỏng vấn và hồ sơ</x:v>
      </x:c>
      <x:c r="C39" s="158" t="str">
        <x:v>Thuật toán, SQL và lập trình trực tiếp</x:v>
      </x:c>
      <x:c r="D39" s="158" t="str">
        <x:v>Array/hash, two pointers, sliding window, tree/graph, concurrency coding, SQL window function và query tuning</x:v>
      </x:c>
      <x:c r="E39" s="158" t="str">
        <x:v>Hoàn thành 12 bài mức trung bình, 4 bài SQL và hai phiên lập trình trực tiếp</x:v>
      </x:c>
      <x:c r="F39" s="158" t="str">
        <x:v>solution log; timing data; SQL scripts; mock recordings</x:v>
      </x:c>
      <x:c r="G39" s="244" t="n">
        <x:f>'01 Tổng quan'!$B$4+(A39-1)*7</x:f>
        <x:v>46468</x:v>
      </x:c>
      <x:c r="H39" s="244" t="n">
        <x:f>G39+6</x:f>
        <x:v>46474</x:v>
      </x:c>
      <x:c r="I39" s="245" t="n">
        <x:v>15</x:v>
      </x:c>
      <x:c r="J39" s="245" t="n">
        <x:f>SUMIF('03 Kế hoạch tuần'!$A$5:$A$277,A39,'03 Kế hoạch tuần'!$I$5:$I$277)</x:f>
        <x:v>0</x:v>
      </x:c>
      <x:c r="K39" s="194" t="n">
        <x:f>IFERROR(COUNTIFS('03 Kế hoạch tuần'!$A$5:$A$277,A39,'03 Kế hoạch tuần'!$H$5:$H$277,"Hoàn thành")/COUNTIF('03 Kế hoạch tuần'!$A$5:$A$277,A39),0)</x:f>
        <x:v>0</x:v>
      </x:c>
      <x:c r="L39" s="194" t="n">
        <x:f>IFERROR(COUNTIFS('04 Checklist tuần'!$A$5:$A$238,A39,'04 Checklist tuần'!$D$5:$D$238,"Đạt")/COUNTIF('04 Checklist tuần'!$A$5:$A$238,A39),0)</x:f>
        <x:v>0</x:v>
      </x:c>
      <x:c r="M39" s="195" t="n">
        <x:f>ROUND(K39*50+L39*30+MIN(J39/I39,1)*20,0)</x:f>
        <x:v>0</x:v>
      </x:c>
      <x:c r="N39" s="158" t="str">
        <x:f>IF(AND(M39&gt;='01 Tổng quan'!$B$6,K39=1,L39=1),"Đạt",IF(M39&gt;=65,"Cần bổ sung","Không đạt"))</x:f>
        <x:v>Không đạt</x:v>
      </x:c>
      <x:c r="O39" s="158" t="str"/>
    </x:row>
    <x:row r="40" ht="72" customHeight="1">
      <x:c r="A40" s="158" t="n">
        <x:v>36</x:v>
      </x:c>
      <x:c r="B40" s="158" t="str">
        <x:v>Phỏng vấn và hồ sơ</x:v>
      </x:c>
      <x:c r="C40" s="158" t="str">
        <x:v>Tiếng Anh kỹ thuật và câu chuyện Senior</x:v>
      </x:c>
      <x:c r="D40" s="158" t="str">
        <x:v>Architecture vocabulary, clarification, disagreement, incident narrative, ownership, estimation và mentoring</x:v>
      </x:c>
      <x:c r="E40" s="158" t="str">
        <x:v>Chuẩn hóa sáu câu chuyện STAR và thực hiện ba buổi phỏng vấn hành vi</x:v>
      </x:c>
      <x:c r="F40" s="158" t="str">
        <x:v>STAR story bank; glossary; 3 recordings; feedback sheet</x:v>
      </x:c>
      <x:c r="G40" s="244" t="n">
        <x:f>'01 Tổng quan'!$B$4+(A40-1)*7</x:f>
        <x:v>46475</x:v>
      </x:c>
      <x:c r="H40" s="244" t="n">
        <x:f>G40+6</x:f>
        <x:v>46481</x:v>
      </x:c>
      <x:c r="I40" s="245" t="n">
        <x:v>15</x:v>
      </x:c>
      <x:c r="J40" s="245" t="n">
        <x:f>SUMIF('03 Kế hoạch tuần'!$A$5:$A$277,A40,'03 Kế hoạch tuần'!$I$5:$I$277)</x:f>
        <x:v>0</x:v>
      </x:c>
      <x:c r="K40" s="194" t="n">
        <x:f>IFERROR(COUNTIFS('03 Kế hoạch tuần'!$A$5:$A$277,A40,'03 Kế hoạch tuần'!$H$5:$H$277,"Hoàn thành")/COUNTIF('03 Kế hoạch tuần'!$A$5:$A$277,A40),0)</x:f>
        <x:v>0</x:v>
      </x:c>
      <x:c r="L40" s="194" t="n">
        <x:f>IFERROR(COUNTIFS('04 Checklist tuần'!$A$5:$A$238,A40,'04 Checklist tuần'!$D$5:$D$238,"Đạt")/COUNTIF('04 Checklist tuần'!$A$5:$A$238,A40),0)</x:f>
        <x:v>0</x:v>
      </x:c>
      <x:c r="M40" s="195" t="n">
        <x:f>ROUND(K40*50+L40*30+MIN(J40/I40,1)*20,0)</x:f>
        <x:v>0</x:v>
      </x:c>
      <x:c r="N40" s="158" t="str">
        <x:f>IF(AND(M40&gt;='01 Tổng quan'!$B$6,K40=1,L40=1),"Đạt",IF(M40&gt;=65,"Cần bổ sung","Không đạt"))</x:f>
        <x:v>Không đạt</x:v>
      </x:c>
      <x:c r="O40" s="158" t="str"/>
    </x:row>
    <x:row r="41" ht="72" customHeight="1">
      <x:c r="A41" s="158" t="n">
        <x:v>37</x:v>
      </x:c>
      <x:c r="B41" s="158" t="str">
        <x:v>Phỏng vấn và hồ sơ</x:v>
      </x:c>
      <x:c r="C41" s="158" t="str">
        <x:v>GitHub, CV và hồ sơ nghề nghiệp</x:v>
      </x:c>
      <x:c r="D41" s="158" t="str">
        <x:v>Evidence-based CV, project storytelling, repository hygiene, English README và role positioning</x:v>
      </x:c>
      <x:c r="E41" s="158" t="str">
        <x:v>Hoàn thiện bộ hồ sơ Senior Java Backend chuyên hệ thống tài chính</x:v>
      </x:c>
      <x:c r="F41" s="158" t="str">
        <x:v>English CV; Vietnamese CV; LinkedIn draft; 2 pinned repositories</x:v>
      </x:c>
      <x:c r="G41" s="244" t="n">
        <x:f>'01 Tổng quan'!$B$4+(A41-1)*7</x:f>
        <x:v>46482</x:v>
      </x:c>
      <x:c r="H41" s="244" t="n">
        <x:f>G41+6</x:f>
        <x:v>46488</x:v>
      </x:c>
      <x:c r="I41" s="245" t="n">
        <x:v>15</x:v>
      </x:c>
      <x:c r="J41" s="245" t="n">
        <x:f>SUMIF('03 Kế hoạch tuần'!$A$5:$A$277,A41,'03 Kế hoạch tuần'!$I$5:$I$277)</x:f>
        <x:v>0</x:v>
      </x:c>
      <x:c r="K41" s="194" t="n">
        <x:f>IFERROR(COUNTIFS('03 Kế hoạch tuần'!$A$5:$A$277,A41,'03 Kế hoạch tuần'!$H$5:$H$277,"Hoàn thành")/COUNTIF('03 Kế hoạch tuần'!$A$5:$A$277,A41),0)</x:f>
        <x:v>0</x:v>
      </x:c>
      <x:c r="L41" s="194" t="n">
        <x:f>IFERROR(COUNTIFS('04 Checklist tuần'!$A$5:$A$238,A41,'04 Checklist tuần'!$D$5:$D$238,"Đạt")/COUNTIF('04 Checklist tuần'!$A$5:$A$238,A41),0)</x:f>
        <x:v>0</x:v>
      </x:c>
      <x:c r="M41" s="195" t="n">
        <x:f>ROUND(K41*50+L41*30+MIN(J41/I41,1)*20,0)</x:f>
        <x:v>0</x:v>
      </x:c>
      <x:c r="N41" s="158" t="str">
        <x:f>IF(AND(M41&gt;='01 Tổng quan'!$B$6,K41=1,L41=1),"Đạt",IF(M41&gt;=65,"Cần bổ sung","Không đạt"))</x:f>
        <x:v>Không đạt</x:v>
      </x:c>
      <x:c r="O41" s="158" t="str"/>
    </x:row>
    <x:row r="42" ht="72" customHeight="1">
      <x:c r="A42" s="158" t="n">
        <x:v>38</x:v>
      </x:c>
      <x:c r="B42" s="158" t="str">
        <x:v>Phỏng vấn và hồ sơ</x:v>
      </x:c>
      <x:c r="C42" s="158" t="str">
        <x:v>Phỏng vấn giả lập và sửa khoảng trống</x:v>
      </x:c>
      <x:c r="D42" s="158" t="str">
        <x:v>Interview loop, feedback calibration, time management, follow-up question và pressure handling</x:v>
      </x:c>
      <x:c r="E42" s="158" t="str">
        <x:v>Hoàn thành hai vòng kỹ thuật đầy đủ và một vòng hành vi</x:v>
      </x:c>
      <x:c r="F42" s="158" t="str">
        <x:v>3 mock scorecards; gap backlog; remediation commits</x:v>
      </x:c>
      <x:c r="G42" s="244" t="n">
        <x:f>'01 Tổng quan'!$B$4+(A42-1)*7</x:f>
        <x:v>46489</x:v>
      </x:c>
      <x:c r="H42" s="244" t="n">
        <x:f>G42+6</x:f>
        <x:v>46495</x:v>
      </x:c>
      <x:c r="I42" s="245" t="n">
        <x:v>15</x:v>
      </x:c>
      <x:c r="J42" s="245" t="n">
        <x:f>SUMIF('03 Kế hoạch tuần'!$A$5:$A$277,A42,'03 Kế hoạch tuần'!$I$5:$I$277)</x:f>
        <x:v>0</x:v>
      </x:c>
      <x:c r="K42" s="194" t="n">
        <x:f>IFERROR(COUNTIFS('03 Kế hoạch tuần'!$A$5:$A$277,A42,'03 Kế hoạch tuần'!$H$5:$H$277,"Hoàn thành")/COUNTIF('03 Kế hoạch tuần'!$A$5:$A$277,A42),0)</x:f>
        <x:v>0</x:v>
      </x:c>
      <x:c r="L42" s="194" t="n">
        <x:f>IFERROR(COUNTIFS('04 Checklist tuần'!$A$5:$A$238,A42,'04 Checklist tuần'!$D$5:$D$238,"Đạt")/COUNTIF('04 Checklist tuần'!$A$5:$A$238,A42),0)</x:f>
        <x:v>0</x:v>
      </x:c>
      <x:c r="M42" s="195" t="n">
        <x:f>ROUND(K42*50+L42*30+MIN(J42/I42,1)*20,0)</x:f>
        <x:v>0</x:v>
      </x:c>
      <x:c r="N42" s="158" t="str">
        <x:f>IF(AND(M42&gt;='01 Tổng quan'!$B$6,K42=1,L42=1),"Đạt",IF(M42&gt;=65,"Cần bổ sung","Không đạt"))</x:f>
        <x:v>Không đạt</x:v>
      </x:c>
      <x:c r="O42" s="158" t="str"/>
    </x:row>
    <x:row r="43" ht="72" customHeight="1">
      <x:c r="A43" s="158" t="n">
        <x:v>39</x:v>
      </x:c>
      <x:c r="B43" s="158" t="str">
        <x:v>Phỏng vấn và hồ sơ</x:v>
      </x:c>
      <x:c r="C43" s="158" t="str">
        <x:v>Đánh giá cuối và bộ hồ sơ ứng tuyển</x:v>
      </x:c>
      <x:c r="D43" s="158" t="str">
        <x:v>Readiness gate, job-description mapping, application portfolio, negotiation baseline và 30-day application plan</x:v>
      </x:c>
      <x:c r="E43" s="158" t="str">
        <x:v>Vượt cổng 80 điểm và có bộ hồ sơ sẵn sàng gửi</x:v>
      </x:c>
      <x:c r="F43" s="158" t="str">
        <x:v>final assessment; application tracker; target-company list; 30-day plan</x:v>
      </x:c>
      <x:c r="G43" s="244" t="n">
        <x:f>'01 Tổng quan'!$B$4+(A43-1)*7</x:f>
        <x:v>46496</x:v>
      </x:c>
      <x:c r="H43" s="244" t="n">
        <x:f>G43+6</x:f>
        <x:v>46502</x:v>
      </x:c>
      <x:c r="I43" s="245" t="n">
        <x:v>15</x:v>
      </x:c>
      <x:c r="J43" s="245" t="n">
        <x:f>SUMIF('03 Kế hoạch tuần'!$A$5:$A$277,A43,'03 Kế hoạch tuần'!$I$5:$I$277)</x:f>
        <x:v>0</x:v>
      </x:c>
      <x:c r="K43" s="194" t="n">
        <x:f>IFERROR(COUNTIFS('03 Kế hoạch tuần'!$A$5:$A$277,A43,'03 Kế hoạch tuần'!$H$5:$H$277,"Hoàn thành")/COUNTIF('03 Kế hoạch tuần'!$A$5:$A$277,A43),0)</x:f>
        <x:v>0</x:v>
      </x:c>
      <x:c r="L43" s="194" t="n">
        <x:f>IFERROR(COUNTIFS('04 Checklist tuần'!$A$5:$A$238,A43,'04 Checklist tuần'!$D$5:$D$238,"Đạt")/COUNTIF('04 Checklist tuần'!$A$5:$A$238,A43),0)</x:f>
        <x:v>0</x:v>
      </x:c>
      <x:c r="M43" s="195" t="n">
        <x:f>ROUND(K43*50+L43*30+MIN(J43/I43,1)*20,0)</x:f>
        <x:v>0</x:v>
      </x:c>
      <x:c r="N43" s="158" t="str">
        <x:f>IF(AND(M43&gt;='01 Tổng quan'!$B$6,K43=1,L43=1),"Đạt",IF(M43&gt;=65,"Cần bổ sung","Không đạt"))</x:f>
        <x:v>Không đạt</x:v>
      </x:c>
      <x:c r="O43" s="158" t="str"/>
    </x:row>
  </x:sheetData>
  <x:mergeCells>
    <x:mergeCell ref="A1:O1"/>
    <x:mergeCell ref="A2:O2"/>
  </x:mergeCells>
  <x:conditionalFormatting sqref="K5:K43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{B85BD5A1-66FA-4393-8636-26E575CB6B20}</x14:id>
        </x:ext>
      </x:extLst>
    </x:cfRule>
  </x:conditionalFormatting>
  <x:conditionalFormatting sqref="L5:L43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{EB8029C2-9A5F-0A7F-C0AE-80B5A695F0D2}</x14:id>
        </x:ext>
      </x:extLst>
    </x:cfRule>
  </x:conditionalFormatting>
  <x:conditionalFormatting sqref="N5:N43">
    <x:cfRule type="containsText" dxfId="10" priority="3" operator="containsText" text="Hoàn thành"/>
    <x:cfRule type="containsText" dxfId="11" priority="4" operator="containsText" text="Đạt"/>
    <x:cfRule type="containsText" dxfId="12" priority="5" operator="containsText" text="Đang làm"/>
    <x:cfRule type="containsText" dxfId="13" priority="6" operator="containsText" text="Cần bổ sung"/>
    <x:cfRule type="containsText" dxfId="14" priority="7" operator="containsText" text="Không đạt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85BD5A1-66FA-4393-8636-26E575CB6B20}">
            <x14:dataBar gradient="1">
              <x14:cfvo type="min"/>
              <x14:cfvo type="max"/>
              <x14:fillColor rgb="FF2563EB"/>
            </x14:dataBar>
          </x14:cfRule>
          <xm:sqref>K5:K43</xm:sqref>
        </x14:conditionalFormatting>
        <x14:conditionalFormatting>
          <x14:cfRule type="dataBar" priority="2" id="{EB8029C2-9A5F-0A7F-C0AE-80B5A695F0D2}">
            <x14:dataBar gradient="1">
              <x14:cfvo type="min"/>
              <x14:cfvo type="max"/>
              <x14:fillColor rgb="FF0F766E"/>
            </x14:dataBar>
          </x14:cfRule>
          <xm:sqref>L5:L43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64" hidden="0" customWidth="1"/>
    <x:col min="4" max="4" width="9" hidden="0" customWidth="1"/>
    <x:col min="5" max="5" width="18" hidden="0" customWidth="1"/>
    <x:col min="6" max="6" width="30" hidden="0" customWidth="1"/>
    <x:col min="7" max="7" width="10" hidden="0" customWidth="1"/>
    <x:col min="8" max="8" width="16" hidden="0" customWidth="1"/>
    <x:col min="9" max="9" width="9" hidden="0" customWidth="1"/>
    <x:col min="10" max="10" width="28" hidden="0" customWidth="1"/>
    <x:col min="11" max="11" width="28" hidden="0" customWidth="1"/>
    <x:col min="12" max="12" width="11" hidden="0" customWidth="1"/>
  </x:cols>
  <x:sheetData>
    <x:row r="1">
      <x:c r="A1" s="246" t="str">
        <x:v>KẾ HOẠCH CÔNG VIỆC HẰNG TUẦN</x:v>
      </x:c>
      <x:c r="B1" s="200"/>
      <x:c r="C1" s="200"/>
      <x:c r="D1" s="200"/>
      <x:c r="E1" s="200"/>
      <x:c r="F1" s="200"/>
      <x:c r="G1" s="200"/>
      <x:c r="H1" s="200"/>
      <x:c r="I1" s="200"/>
      <x:c r="J1" s="200"/>
      <x:c r="K1" s="200"/>
      <x:c r="L1" s="200"/>
    </x:row>
    <x:row r="2">
      <x:c r="A2" s="413" t="str">
        <x:v>Bắt đầu ở trang 10 Học chi tiết: lọc Tuần hiện tại và làm đúng thứ tự. Trang này dùng để quản lý đầu việc, giờ học và bằng chứng.</x:v>
      </x:c>
      <x:c r="B2" s="413"/>
      <x:c r="C2" s="413"/>
      <x:c r="D2" s="413"/>
      <x:c r="E2" s="413"/>
      <x:c r="F2" s="413"/>
      <x:c r="G2" s="413"/>
      <x:c r="H2" s="413"/>
      <x:c r="I2" s="413"/>
      <x:c r="J2" s="413"/>
      <x:c r="K2" s="413"/>
      <x:c r="L2" s="413"/>
    </x:row>
    <x:row r="3">
      <x:c r="A3" s="205"/>
      <x:c r="B3" s="205"/>
      <x:c r="C3" s="205"/>
      <x:c r="D3" s="205"/>
      <x:c r="E3" s="205"/>
      <x:c r="F3" s="205"/>
      <x:c r="G3" s="205"/>
      <x:c r="H3" s="205"/>
      <x:c r="I3" s="205"/>
      <x:c r="J3" s="205"/>
      <x:c r="K3" s="205"/>
      <x:c r="L3" s="205"/>
    </x:row>
    <x:row r="4">
      <x:c r="A4" s="203" t="str">
        <x:v>Tuần</x:v>
      </x:c>
      <x:c r="B4" s="206" t="str">
        <x:v>Loại việc</x:v>
      </x:c>
      <x:c r="C4" s="206" t="str">
        <x:v>Đầu việc chi tiết</x:v>
      </x:c>
      <x:c r="D4" s="206" t="str">
        <x:v>Giờ KH</x:v>
      </x:c>
      <x:c r="E4" s="206" t="str">
        <x:v>Tài liệu</x:v>
      </x:c>
      <x:c r="F4" s="206" t="str">
        <x:v>Đầu ra</x:v>
      </x:c>
      <x:c r="G4" s="206" t="str">
        <x:v>Bắt buộc</x:v>
      </x:c>
      <x:c r="H4" s="206" t="str">
        <x:v>Trạng thái</x:v>
      </x:c>
      <x:c r="I4" s="206" t="str">
        <x:v>Giờ TT</x:v>
      </x:c>
      <x:c r="J4" s="206" t="str">
        <x:v>Bằng chứng/URL</x:v>
      </x:c>
      <x:c r="K4" s="206" t="str">
        <x:v>Ghi chú</x:v>
      </x:c>
      <x:c r="L4" s="204" t="str">
        <x:v>Tỷ lệ giờ</x:v>
      </x:c>
    </x:row>
    <x:row r="5" ht="56" customHeight="1">
      <x:c r="A5" s="155" t="n">
        <x:v>1</x:v>
      </x:c>
      <x:c r="B5" s="155" t="str">
        <x:v>Học trọng tâm</x:v>
      </x:c>
      <x:c r="C5" s="155" t="str">
        <x:v>Đọc tài liệu R01, R02, R09; tập trung: Record, sealed class, pattern matching, tính bất biến và cách mô hình hóa giá trị tiền. Ghi lại thuật ngữ, quy tắc và điểm chưa hiểu.</x:v>
      </x:c>
      <x:c r="D5" s="242" t="n">
        <x:v>2.5</x:v>
      </x:c>
      <x:c r="E5" s="155" t="str">
        <x:f>"Trang 10 → lọc Tuần "&amp;A5</x:f>
        <x:v>Trang 10 → lọc Tuần 1</x:v>
      </x:c>
      <x:c r="F5" s="155" t="str">
        <x:v>Ghi chú học tập và danh sách câu hỏi</x:v>
      </x:c>
      <x:c r="G5" s="155" t="str">
        <x:v>Có</x:v>
      </x:c>
      <x:c r="H5" s="155" t="str">
        <x:v>Chưa bắt đầu</x:v>
      </x:c>
      <x:c r="I5" s="242" t="n">
        <x:v>0</x:v>
      </x:c>
      <x:c r="J5" s="155" t="str"/>
      <x:c r="K5" s="155" t="str"/>
      <x:c r="L5" s="193" t="n">
        <x:f>IFERROR(MIN(I5/D5,1),0)</x:f>
        <x:v>0</x:v>
      </x:c>
    </x:row>
    <x:row r="6" ht="56" customHeight="1">
      <x:c r="A6" s="158" t="n">
        <x:v>1</x:v>
      </x:c>
      <x:c r="B6" s="158" t="str">
        <x:v>Ghi chú kiến thức</x:v>
      </x:c>
      <x:c r="C6" s="158" t="str">
        <x:v>Viết bản tóm tắt một trang về Đánh giá đầu vào và Java hiện đại; nêu ít nhất hai lựa chọn kỹ thuật và trade-off.</x:v>
      </x:c>
      <x:c r="D6" s="245" t="n">
        <x:v>1.5</x:v>
      </x:c>
      <x:c r="E6" s="158" t="str">
        <x:f>"Trang 10 → lọc Tuần "&amp;A6</x:f>
        <x:v>Trang 10 → lọc Tuần 1</x:v>
      </x:c>
      <x:c r="F6" s="158" t="str">
        <x:v>Tóm tắt một trang/ADR ngắn</x:v>
      </x:c>
      <x:c r="G6" s="158" t="str">
        <x:v>Có</x:v>
      </x:c>
      <x:c r="H6" s="158" t="str">
        <x:v>Chưa bắt đầu</x:v>
      </x:c>
      <x:c r="I6" s="245" t="n">
        <x:v>0</x:v>
      </x:c>
      <x:c r="J6" s="158" t="str"/>
      <x:c r="K6" s="158" t="str"/>
      <x:c r="L6" s="194" t="n">
        <x:f>IFERROR(MIN(I6/D6,1),0)</x:f>
        <x:v>0</x:v>
      </x:c>
    </x:row>
    <x:row r="7" ht="56" customHeight="1">
      <x:c r="A7" s="158" t="n">
        <x:v>1</x:v>
      </x:c>
      <x:c r="B7" s="158" t="str">
        <x:v>Xây dựng</x:v>
      </x:c>
      <x:c r="C7" s="158" t="str">
        <x:v>Thực hiện mục tiêu: Tạo mô hình Account–Money–Transfer bằng Java 21, có tối thiểu 10 kiểm thử nghiệp vụ. Chia commit nhỏ, thông điệp commit rõ ràng.</x:v>
      </x:c>
      <x:c r="D7" s="245" t="n">
        <x:v>4</x:v>
      </x:c>
      <x:c r="E7" s="158" t="str">
        <x:f>"Trang 10 → lọc Tuần "&amp;A7</x:f>
        <x:v>Trang 10 → lọc Tuần 1</x:v>
      </x:c>
      <x:c r="F7" s="158" t="str">
        <x:v>Mã nguồn hoặc cấu hình chạy được</x:v>
      </x:c>
      <x:c r="G7" s="158" t="str">
        <x:v>Có</x:v>
      </x:c>
      <x:c r="H7" s="158" t="str">
        <x:v>Chưa bắt đầu</x:v>
      </x:c>
      <x:c r="I7" s="245" t="n">
        <x:v>0</x:v>
      </x:c>
      <x:c r="J7" s="158" t="str"/>
      <x:c r="K7" s="158" t="str"/>
      <x:c r="L7" s="194" t="n">
        <x:f>IFERROR(MIN(I7/D7,1),0)</x:f>
        <x:v>0</x:v>
      </x:c>
    </x:row>
    <x:row r="8" ht="56" customHeight="1">
      <x:c r="A8" s="158" t="n">
        <x:v>1</x:v>
      </x:c>
      <x:c r="B8" s="158" t="str">
        <x:v>Kiểm thử</x:v>
      </x:c>
      <x:c r="C8" s="158" t="str">
        <x:v>Viết kiểm thử cho ba tiêu chí: Giải thích được record khác class ở đâu và khi nào nên dùng; Mô hình Money không dùng double và không cho phép giá trị âm; Trạng thái giao dịch được giới hạn bằng sealed hierarchy.</x:v>
      </x:c>
      <x:c r="D8" s="245" t="n">
        <x:v>2</x:v>
      </x:c>
      <x:c r="E8" s="158" t="str">
        <x:f>"Trang 10 → lọc Tuần "&amp;A8</x:f>
        <x:v>Trang 10 → lọc Tuần 1</x:v>
      </x:c>
      <x:c r="F8" s="158" t="str">
        <x:v>Bộ kiểm thử và kết quả chạy</x:v>
      </x:c>
      <x:c r="G8" s="158" t="str">
        <x:v>Có</x:v>
      </x:c>
      <x:c r="H8" s="158" t="str">
        <x:v>Chưa bắt đầu</x:v>
      </x:c>
      <x:c r="I8" s="245" t="n">
        <x:v>0</x:v>
      </x:c>
      <x:c r="J8" s="158" t="str"/>
      <x:c r="K8" s="158" t="str"/>
      <x:c r="L8" s="194" t="n">
        <x:f>IFERROR(MIN(I8/D8,1),0)</x:f>
        <x:v>0</x:v>
      </x:c>
    </x:row>
    <x:row r="9" ht="56" customHeight="1">
      <x:c r="A9" s="158" t="n">
        <x:v>1</x:v>
      </x:c>
      <x:c r="B9" s="158" t="str">
        <x:v>Tài liệu hóa</x:v>
      </x:c>
      <x:c r="C9" s="158" t="str">
        <x:v>Cập nhật baseline-assessment.md; mã nguồn mô hình chuyển tiền; bản ghi âm tiếng Anh 5–7 phút; bổ sung sơ đồ hoặc bảng quyết định khi phù hợp.</x:v>
      </x:c>
      <x:c r="D9" s="245" t="n">
        <x:v>1.5</x:v>
      </x:c>
      <x:c r="E9" s="158" t="str">
        <x:f>"Trang 10 → lọc Tuần "&amp;A9</x:f>
        <x:v>Trang 10 → lọc Tuần 1</x:v>
      </x:c>
      <x:c r="F9" s="158" t="str">
        <x:v>Tài liệu/sơ đồ/báo cáo</x:v>
      </x:c>
      <x:c r="G9" s="158" t="str">
        <x:v>Có</x:v>
      </x:c>
      <x:c r="H9" s="158" t="str">
        <x:v>Chưa bắt đầu</x:v>
      </x:c>
      <x:c r="I9" s="245" t="n">
        <x:v>0</x:v>
      </x:c>
      <x:c r="J9" s="158" t="str"/>
      <x:c r="K9" s="158" t="str"/>
      <x:c r="L9" s="194" t="n">
        <x:f>IFERROR(MIN(I9/D9,1),0)</x:f>
        <x:v>0</x:v>
      </x:c>
    </x:row>
    <x:row r="10" ht="56" customHeight="1">
      <x:c r="A10" s="158" t="n">
        <x:v>1</x:v>
      </x:c>
      <x:c r="B10" s="158" t="str">
        <x:v>Tiếng Anh kỹ thuật</x:v>
      </x:c>
      <x:c r="C10" s="158" t="str">
        <x:v>Trình bày Đánh giá đầu vào và Java hiện đại bằng tiếng Anh 5–10 phút; ghi âm và tự ghi ba lỗi cần sửa.</x:v>
      </x:c>
      <x:c r="D10" s="245" t="n">
        <x:v>1.5</x:v>
      </x:c>
      <x:c r="E10" s="158" t="str">
        <x:f>"Trang 10 → lọc Tuần "&amp;A10</x:f>
        <x:v>Trang 10 → lọc Tuần 1</x:v>
      </x:c>
      <x:c r="F10" s="158" t="str">
        <x:v>Bản ghi âm và danh sách lỗi</x:v>
      </x:c>
      <x:c r="G10" s="158" t="str">
        <x:v>Có</x:v>
      </x:c>
      <x:c r="H10" s="158" t="str">
        <x:v>Chưa bắt đầu</x:v>
      </x:c>
      <x:c r="I10" s="245" t="n">
        <x:v>0</x:v>
      </x:c>
      <x:c r="J10" s="158" t="str"/>
      <x:c r="K10" s="158" t="str"/>
      <x:c r="L10" s="194" t="n">
        <x:f>IFERROR(MIN(I10/D10,1),0)</x:f>
        <x:v>0</x:v>
      </x:c>
    </x:row>
    <x:row r="11" ht="56" customHeight="1">
      <x:c r="A11" s="158" t="n">
        <x:v>1</x:v>
      </x:c>
      <x:c r="B11" s="158" t="str">
        <x:v>Đánh giá tuần</x:v>
      </x:c>
      <x:c r="C11" s="158" t="str">
        <x:v>Tự kiểm tra 10 câu, đánh giá toàn bộ checklist tuần, chốt tồn đọng và kế hoạch sửa.</x:v>
      </x:c>
      <x:c r="D11" s="245" t="n">
        <x:v>2</x:v>
      </x:c>
      <x:c r="E11" s="158" t="str">
        <x:f>"Trang 10 → lọc Tuần "&amp;A11</x:f>
        <x:v>Trang 10 → lọc Tuần 1</x:v>
      </x:c>
      <x:c r="F11" s="158" t="str">
        <x:v>Điểm tự kiểm tra và retrospective</x:v>
      </x:c>
      <x:c r="G11" s="158" t="str">
        <x:v>Có</x:v>
      </x:c>
      <x:c r="H11" s="158" t="str">
        <x:v>Chưa bắt đầu</x:v>
      </x:c>
      <x:c r="I11" s="245" t="n">
        <x:v>0</x:v>
      </x:c>
      <x:c r="J11" s="158" t="str"/>
      <x:c r="K11" s="158" t="str"/>
      <x:c r="L11" s="194" t="n">
        <x:f>IFERROR(MIN(I11/D11,1),0)</x:f>
        <x:v>0</x:v>
      </x:c>
    </x:row>
    <x:row r="12" ht="56" customHeight="1">
      <x:c r="A12" s="158" t="n">
        <x:v>2</x:v>
      </x:c>
      <x:c r="B12" s="158" t="str">
        <x:v>Học trọng tâm</x:v>
      </x:c>
      <x:c r="C12" s="158" t="str">
        <x:v>Đọc tài liệu R01, R02, R09; tập trung: Độ phức tạp của collection, Stream pipeline, Optional, comparator và value object. Ghi lại thuật ngữ, quy tắc và điểm chưa hiểu.</x:v>
      </x:c>
      <x:c r="D12" s="245" t="n">
        <x:v>2.5</x:v>
      </x:c>
      <x:c r="E12" s="158" t="str">
        <x:f>"Trang 10 → lọc Tuần "&amp;A12</x:f>
        <x:v>Trang 10 → lọc Tuần 2</x:v>
      </x:c>
      <x:c r="F12" s="158" t="str">
        <x:v>Ghi chú học tập và danh sách câu hỏi</x:v>
      </x:c>
      <x:c r="G12" s="158" t="str">
        <x:v>Có</x:v>
      </x:c>
      <x:c r="H12" s="158" t="str">
        <x:v>Chưa bắt đầu</x:v>
      </x:c>
      <x:c r="I12" s="245" t="n">
        <x:v>0</x:v>
      </x:c>
      <x:c r="J12" s="158" t="str"/>
      <x:c r="K12" s="158" t="str"/>
      <x:c r="L12" s="194" t="n">
        <x:f>IFERROR(MIN(I12/D12,1),0)</x:f>
        <x:v>0</x:v>
      </x:c>
    </x:row>
    <x:row r="13" ht="56" customHeight="1">
      <x:c r="A13" s="158" t="n">
        <x:v>2</x:v>
      </x:c>
      <x:c r="B13" s="158" t="str">
        <x:v>Ghi chú kiến thức</x:v>
      </x:c>
      <x:c r="C13" s="158" t="str">
        <x:v>Viết bản tóm tắt một trang về Collections, Stream và mô hình miền bất biến; nêu ít nhất hai lựa chọn kỹ thuật và trade-off.</x:v>
      </x:c>
      <x:c r="D13" s="245" t="n">
        <x:v>1.5</x:v>
      </x:c>
      <x:c r="E13" s="158" t="str">
        <x:f>"Trang 10 → lọc Tuần "&amp;A13</x:f>
        <x:v>Trang 10 → lọc Tuần 2</x:v>
      </x:c>
      <x:c r="F13" s="158" t="str">
        <x:v>Tóm tắt một trang/ADR ngắn</x:v>
      </x:c>
      <x:c r="G13" s="158" t="str">
        <x:v>Có</x:v>
      </x:c>
      <x:c r="H13" s="158" t="str">
        <x:v>Chưa bắt đầu</x:v>
      </x:c>
      <x:c r="I13" s="245" t="n">
        <x:v>0</x:v>
      </x:c>
      <x:c r="J13" s="158" t="str"/>
      <x:c r="K13" s="158" t="str"/>
      <x:c r="L13" s="194" t="n">
        <x:f>IFERROR(MIN(I13/D13,1),0)</x:f>
        <x:v>0</x:v>
      </x:c>
    </x:row>
    <x:row r="14" ht="56" customHeight="1">
      <x:c r="A14" s="158" t="n">
        <x:v>2</x:v>
      </x:c>
      <x:c r="B14" s="158" t="str">
        <x:v>Xây dựng</x:v>
      </x:c>
      <x:c r="C14" s="158" t="str">
        <x:v>Thực hiện mục tiêu: Xử lý lịch sử giao dịch, lọc–nhóm–tổng hợp và thiết kế value object bất biến. Chia commit nhỏ, thông điệp commit rõ ràng.</x:v>
      </x:c>
      <x:c r="D14" s="245" t="n">
        <x:v>4</x:v>
      </x:c>
      <x:c r="E14" s="158" t="str">
        <x:f>"Trang 10 → lọc Tuần "&amp;A14</x:f>
        <x:v>Trang 10 → lọc Tuần 2</x:v>
      </x:c>
      <x:c r="F14" s="158" t="str">
        <x:v>Mã nguồn hoặc cấu hình chạy được</x:v>
      </x:c>
      <x:c r="G14" s="158" t="str">
        <x:v>Có</x:v>
      </x:c>
      <x:c r="H14" s="158" t="str">
        <x:v>Chưa bắt đầu</x:v>
      </x:c>
      <x:c r="I14" s="245" t="n">
        <x:v>0</x:v>
      </x:c>
      <x:c r="J14" s="158" t="str"/>
      <x:c r="K14" s="158" t="str"/>
      <x:c r="L14" s="194" t="n">
        <x:f>IFERROR(MIN(I14/D14,1),0)</x:f>
        <x:v>0</x:v>
      </x:c>
    </x:row>
    <x:row r="15" ht="56" customHeight="1">
      <x:c r="A15" s="158" t="n">
        <x:v>2</x:v>
      </x:c>
      <x:c r="B15" s="158" t="str">
        <x:v>Kiểm thử</x:v>
      </x:c>
      <x:c r="C15" s="158" t="str">
        <x:v>Viết kiểm thử cho ba tiêu chí: Chọn đúng List, Set, Map cho ba tình huống nghiệp vụ; Giải thích được lazy evaluation và side effect trong Stream; Không lạm dụng Optional trong field hoặc tham số.</x:v>
      </x:c>
      <x:c r="D15" s="245" t="n">
        <x:v>2</x:v>
      </x:c>
      <x:c r="E15" s="158" t="str">
        <x:f>"Trang 10 → lọc Tuần "&amp;A15</x:f>
        <x:v>Trang 10 → lọc Tuần 2</x:v>
      </x:c>
      <x:c r="F15" s="158" t="str">
        <x:v>Bộ kiểm thử và kết quả chạy</x:v>
      </x:c>
      <x:c r="G15" s="158" t="str">
        <x:v>Có</x:v>
      </x:c>
      <x:c r="H15" s="158" t="str">
        <x:v>Chưa bắt đầu</x:v>
      </x:c>
      <x:c r="I15" s="245" t="n">
        <x:v>0</x:v>
      </x:c>
      <x:c r="J15" s="158" t="str"/>
      <x:c r="K15" s="158" t="str"/>
      <x:c r="L15" s="194" t="n">
        <x:f>IFERROR(MIN(I15/D15,1),0)</x:f>
        <x:v>0</x:v>
      </x:c>
    </x:row>
    <x:row r="16" ht="56" customHeight="1">
      <x:c r="A16" s="158" t="n">
        <x:v>2</x:v>
      </x:c>
      <x:c r="B16" s="158" t="str">
        <x:v>Tài liệu hóa</x:v>
      </x:c>
      <x:c r="C16" s="158" t="str">
        <x:v>Cập nhật transaction-analytics module; bảng so sánh collection; 15 kiểm thử; bổ sung sơ đồ hoặc bảng quyết định khi phù hợp.</x:v>
      </x:c>
      <x:c r="D16" s="245" t="n">
        <x:v>1.5</x:v>
      </x:c>
      <x:c r="E16" s="158" t="str">
        <x:f>"Trang 10 → lọc Tuần "&amp;A16</x:f>
        <x:v>Trang 10 → lọc Tuần 2</x:v>
      </x:c>
      <x:c r="F16" s="158" t="str">
        <x:v>Tài liệu/sơ đồ/báo cáo</x:v>
      </x:c>
      <x:c r="G16" s="158" t="str">
        <x:v>Có</x:v>
      </x:c>
      <x:c r="H16" s="158" t="str">
        <x:v>Chưa bắt đầu</x:v>
      </x:c>
      <x:c r="I16" s="245" t="n">
        <x:v>0</x:v>
      </x:c>
      <x:c r="J16" s="158" t="str"/>
      <x:c r="K16" s="158" t="str"/>
      <x:c r="L16" s="194" t="n">
        <x:f>IFERROR(MIN(I16/D16,1),0)</x:f>
        <x:v>0</x:v>
      </x:c>
    </x:row>
    <x:row r="17" ht="56" customHeight="1">
      <x:c r="A17" s="158" t="n">
        <x:v>2</x:v>
      </x:c>
      <x:c r="B17" s="158" t="str">
        <x:v>Tiếng Anh kỹ thuật</x:v>
      </x:c>
      <x:c r="C17" s="158" t="str">
        <x:v>Trình bày Collections, Stream và mô hình miền bất biến bằng tiếng Anh 5–10 phút; ghi âm và tự ghi ba lỗi cần sửa.</x:v>
      </x:c>
      <x:c r="D17" s="245" t="n">
        <x:v>1.5</x:v>
      </x:c>
      <x:c r="E17" s="158" t="str">
        <x:f>"Trang 10 → lọc Tuần "&amp;A17</x:f>
        <x:v>Trang 10 → lọc Tuần 2</x:v>
      </x:c>
      <x:c r="F17" s="158" t="str">
        <x:v>Bản ghi âm và danh sách lỗi</x:v>
      </x:c>
      <x:c r="G17" s="158" t="str">
        <x:v>Có</x:v>
      </x:c>
      <x:c r="H17" s="158" t="str">
        <x:v>Chưa bắt đầu</x:v>
      </x:c>
      <x:c r="I17" s="245" t="n">
        <x:v>0</x:v>
      </x:c>
      <x:c r="J17" s="158" t="str"/>
      <x:c r="K17" s="158" t="str"/>
      <x:c r="L17" s="194" t="n">
        <x:f>IFERROR(MIN(I17/D17,1),0)</x:f>
        <x:v>0</x:v>
      </x:c>
    </x:row>
    <x:row r="18" ht="56" customHeight="1">
      <x:c r="A18" s="158" t="n">
        <x:v>2</x:v>
      </x:c>
      <x:c r="B18" s="158" t="str">
        <x:v>Đánh giá tuần</x:v>
      </x:c>
      <x:c r="C18" s="158" t="str">
        <x:v>Tự kiểm tra 10 câu, đánh giá toàn bộ checklist tuần, chốt tồn đọng và kế hoạch sửa.</x:v>
      </x:c>
      <x:c r="D18" s="245" t="n">
        <x:v>2</x:v>
      </x:c>
      <x:c r="E18" s="158" t="str">
        <x:f>"Trang 10 → lọc Tuần "&amp;A18</x:f>
        <x:v>Trang 10 → lọc Tuần 2</x:v>
      </x:c>
      <x:c r="F18" s="158" t="str">
        <x:v>Điểm tự kiểm tra và retrospective</x:v>
      </x:c>
      <x:c r="G18" s="158" t="str">
        <x:v>Có</x:v>
      </x:c>
      <x:c r="H18" s="158" t="str">
        <x:v>Chưa bắt đầu</x:v>
      </x:c>
      <x:c r="I18" s="245" t="n">
        <x:v>0</x:v>
      </x:c>
      <x:c r="J18" s="158" t="str"/>
      <x:c r="K18" s="158" t="str"/>
      <x:c r="L18" s="194" t="n">
        <x:f>IFERROR(MIN(I18/D18,1),0)</x:f>
        <x:v>0</x:v>
      </x:c>
    </x:row>
    <x:row r="19" ht="56" customHeight="1">
      <x:c r="A19" s="158" t="n">
        <x:v>3</x:v>
      </x:c>
      <x:c r="B19" s="158" t="str">
        <x:v>Học trọng tâm</x:v>
      </x:c>
      <x:c r="C19" s="158" t="str">
        <x:v>Đọc tài liệu R01, R02; tập trung: Race condition, thread safety, executor, CompletableFuture, virtual thread và structured concurrency. Ghi lại thuật ngữ, quy tắc và điểm chưa hiểu.</x:v>
      </x:c>
      <x:c r="D19" s="245" t="n">
        <x:v>2.5</x:v>
      </x:c>
      <x:c r="E19" s="158" t="str">
        <x:f>"Trang 10 → lọc Tuần "&amp;A19</x:f>
        <x:v>Trang 10 → lọc Tuần 3</x:v>
      </x:c>
      <x:c r="F19" s="158" t="str">
        <x:v>Ghi chú học tập và danh sách câu hỏi</x:v>
      </x:c>
      <x:c r="G19" s="158" t="str">
        <x:v>Có</x:v>
      </x:c>
      <x:c r="H19" s="158" t="str">
        <x:v>Chưa bắt đầu</x:v>
      </x:c>
      <x:c r="I19" s="245" t="n">
        <x:v>0</x:v>
      </x:c>
      <x:c r="J19" s="158" t="str"/>
      <x:c r="K19" s="158" t="str"/>
      <x:c r="L19" s="194" t="n">
        <x:f>IFERROR(MIN(I19/D19,1),0)</x:f>
        <x:v>0</x:v>
      </x:c>
    </x:row>
    <x:row r="20" ht="56" customHeight="1">
      <x:c r="A20" s="158" t="n">
        <x:v>3</x:v>
      </x:c>
      <x:c r="B20" s="158" t="str">
        <x:v>Ghi chú kiến thức</x:v>
      </x:c>
      <x:c r="C20" s="158" t="str">
        <x:v>Viết bản tóm tắt một trang về Đồng thời, CompletableFuture và virtual thread; nêu ít nhất hai lựa chọn kỹ thuật và trade-off.</x:v>
      </x:c>
      <x:c r="D20" s="245" t="n">
        <x:v>1.5</x:v>
      </x:c>
      <x:c r="E20" s="158" t="str">
        <x:f>"Trang 10 → lọc Tuần "&amp;A20</x:f>
        <x:v>Trang 10 → lọc Tuần 3</x:v>
      </x:c>
      <x:c r="F20" s="158" t="str">
        <x:v>Tóm tắt một trang/ADR ngắn</x:v>
      </x:c>
      <x:c r="G20" s="158" t="str">
        <x:v>Có</x:v>
      </x:c>
      <x:c r="H20" s="158" t="str">
        <x:v>Chưa bắt đầu</x:v>
      </x:c>
      <x:c r="I20" s="245" t="n">
        <x:v>0</x:v>
      </x:c>
      <x:c r="J20" s="158" t="str"/>
      <x:c r="K20" s="158" t="str"/>
      <x:c r="L20" s="194" t="n">
        <x:f>IFERROR(MIN(I20/D20,1),0)</x:f>
        <x:v>0</x:v>
      </x:c>
    </x:row>
    <x:row r="21" ht="56" customHeight="1">
      <x:c r="A21" s="158" t="n">
        <x:v>3</x:v>
      </x:c>
      <x:c r="B21" s="158" t="str">
        <x:v>Xây dựng</x:v>
      </x:c>
      <x:c r="C21" s="158" t="str">
        <x:v>Thực hiện mục tiêu: Mô phỏng 1.000 yêu cầu truy vấn số dư đồng thời và so sánh hai cách thực thi. Chia commit nhỏ, thông điệp commit rõ ràng.</x:v>
      </x:c>
      <x:c r="D21" s="245" t="n">
        <x:v>4</x:v>
      </x:c>
      <x:c r="E21" s="158" t="str">
        <x:f>"Trang 10 → lọc Tuần "&amp;A21</x:f>
        <x:v>Trang 10 → lọc Tuần 3</x:v>
      </x:c>
      <x:c r="F21" s="158" t="str">
        <x:v>Mã nguồn hoặc cấu hình chạy được</x:v>
      </x:c>
      <x:c r="G21" s="158" t="str">
        <x:v>Có</x:v>
      </x:c>
      <x:c r="H21" s="158" t="str">
        <x:v>Chưa bắt đầu</x:v>
      </x:c>
      <x:c r="I21" s="245" t="n">
        <x:v>0</x:v>
      </x:c>
      <x:c r="J21" s="158" t="str"/>
      <x:c r="K21" s="158" t="str"/>
      <x:c r="L21" s="194" t="n">
        <x:f>IFERROR(MIN(I21/D21,1),0)</x:f>
        <x:v>0</x:v>
      </x:c>
    </x:row>
    <x:row r="22" ht="56" customHeight="1">
      <x:c r="A22" s="158" t="n">
        <x:v>3</x:v>
      </x:c>
      <x:c r="B22" s="158" t="str">
        <x:v>Kiểm thử</x:v>
      </x:c>
      <x:c r="C22" s="158" t="str">
        <x:v>Viết kiểm thử cho ba tiêu chí: Tái hiện được race condition bằng kiểm thử; Sửa được race condition mà không khóa toàn bộ hệ thống; Giải thích được CPU-bound và I/O-bound.</x:v>
      </x:c>
      <x:c r="D22" s="245" t="n">
        <x:v>2</x:v>
      </x:c>
      <x:c r="E22" s="158" t="str">
        <x:f>"Trang 10 → lọc Tuần "&amp;A22</x:f>
        <x:v>Trang 10 → lọc Tuần 3</x:v>
      </x:c>
      <x:c r="F22" s="158" t="str">
        <x:v>Bộ kiểm thử và kết quả chạy</x:v>
      </x:c>
      <x:c r="G22" s="158" t="str">
        <x:v>Có</x:v>
      </x:c>
      <x:c r="H22" s="158" t="str">
        <x:v>Chưa bắt đầu</x:v>
      </x:c>
      <x:c r="I22" s="245" t="n">
        <x:v>0</x:v>
      </x:c>
      <x:c r="J22" s="158" t="str"/>
      <x:c r="K22" s="158" t="str"/>
      <x:c r="L22" s="194" t="n">
        <x:f>IFERROR(MIN(I22/D22,1),0)</x:f>
        <x:v>0</x:v>
      </x:c>
    </x:row>
    <x:row r="23" ht="56" customHeight="1">
      <x:c r="A23" s="158" t="n">
        <x:v>3</x:v>
      </x:c>
      <x:c r="B23" s="158" t="str">
        <x:v>Tài liệu hóa</x:v>
      </x:c>
      <x:c r="C23" s="158" t="str">
        <x:v>Cập nhật concurrency-lab; số liệu thời gian chạy; báo cáo race condition; bổ sung sơ đồ hoặc bảng quyết định khi phù hợp.</x:v>
      </x:c>
      <x:c r="D23" s="245" t="n">
        <x:v>1.5</x:v>
      </x:c>
      <x:c r="E23" s="158" t="str">
        <x:f>"Trang 10 → lọc Tuần "&amp;A23</x:f>
        <x:v>Trang 10 → lọc Tuần 3</x:v>
      </x:c>
      <x:c r="F23" s="158" t="str">
        <x:v>Tài liệu/sơ đồ/báo cáo</x:v>
      </x:c>
      <x:c r="G23" s="158" t="str">
        <x:v>Có</x:v>
      </x:c>
      <x:c r="H23" s="158" t="str">
        <x:v>Chưa bắt đầu</x:v>
      </x:c>
      <x:c r="I23" s="245" t="n">
        <x:v>0</x:v>
      </x:c>
      <x:c r="J23" s="158" t="str"/>
      <x:c r="K23" s="158" t="str"/>
      <x:c r="L23" s="194" t="n">
        <x:f>IFERROR(MIN(I23/D23,1),0)</x:f>
        <x:v>0</x:v>
      </x:c>
    </x:row>
    <x:row r="24" ht="56" customHeight="1">
      <x:c r="A24" s="158" t="n">
        <x:v>3</x:v>
      </x:c>
      <x:c r="B24" s="158" t="str">
        <x:v>Tiếng Anh kỹ thuật</x:v>
      </x:c>
      <x:c r="C24" s="158" t="str">
        <x:v>Trình bày Đồng thời, CompletableFuture và virtual thread bằng tiếng Anh 5–10 phút; ghi âm và tự ghi ba lỗi cần sửa.</x:v>
      </x:c>
      <x:c r="D24" s="245" t="n">
        <x:v>1.5</x:v>
      </x:c>
      <x:c r="E24" s="158" t="str">
        <x:f>"Trang 10 → lọc Tuần "&amp;A24</x:f>
        <x:v>Trang 10 → lọc Tuần 3</x:v>
      </x:c>
      <x:c r="F24" s="158" t="str">
        <x:v>Bản ghi âm và danh sách lỗi</x:v>
      </x:c>
      <x:c r="G24" s="158" t="str">
        <x:v>Có</x:v>
      </x:c>
      <x:c r="H24" s="158" t="str">
        <x:v>Chưa bắt đầu</x:v>
      </x:c>
      <x:c r="I24" s="245" t="n">
        <x:v>0</x:v>
      </x:c>
      <x:c r="J24" s="158" t="str"/>
      <x:c r="K24" s="158" t="str"/>
      <x:c r="L24" s="194" t="n">
        <x:f>IFERROR(MIN(I24/D24,1),0)</x:f>
        <x:v>0</x:v>
      </x:c>
    </x:row>
    <x:row r="25" ht="56" customHeight="1">
      <x:c r="A25" s="158" t="n">
        <x:v>3</x:v>
      </x:c>
      <x:c r="B25" s="158" t="str">
        <x:v>Đánh giá tuần</x:v>
      </x:c>
      <x:c r="C25" s="158" t="str">
        <x:v>Tự kiểm tra 10 câu, đánh giá toàn bộ checklist tuần, chốt tồn đọng và kế hoạch sửa.</x:v>
      </x:c>
      <x:c r="D25" s="245" t="n">
        <x:v>2</x:v>
      </x:c>
      <x:c r="E25" s="158" t="str">
        <x:f>"Trang 10 → lọc Tuần "&amp;A25</x:f>
        <x:v>Trang 10 → lọc Tuần 3</x:v>
      </x:c>
      <x:c r="F25" s="158" t="str">
        <x:v>Điểm tự kiểm tra và retrospective</x:v>
      </x:c>
      <x:c r="G25" s="158" t="str">
        <x:v>Có</x:v>
      </x:c>
      <x:c r="H25" s="158" t="str">
        <x:v>Chưa bắt đầu</x:v>
      </x:c>
      <x:c r="I25" s="245" t="n">
        <x:v>0</x:v>
      </x:c>
      <x:c r="J25" s="158" t="str"/>
      <x:c r="K25" s="158" t="str"/>
      <x:c r="L25" s="194" t="n">
        <x:f>IFERROR(MIN(I25/D25,1),0)</x:f>
        <x:v>0</x:v>
      </x:c>
    </x:row>
    <x:row r="26" ht="56" customHeight="1">
      <x:c r="A26" s="158" t="n">
        <x:v>4</x:v>
      </x:c>
      <x:c r="B26" s="158" t="str">
        <x:v>Học trọng tâm</x:v>
      </x:c>
      <x:c r="C26" s="158" t="str">
        <x:v>Đọc tài liệu R02, R03; tập trung: Heap, stack, garbage collection, thread dump, Java Flight Recorder và nguyên tắc benchmark. Ghi lại thuật ngữ, quy tắc và điểm chưa hiểu.</x:v>
      </x:c>
      <x:c r="D26" s="245" t="n">
        <x:v>2.5</x:v>
      </x:c>
      <x:c r="E26" s="158" t="str">
        <x:f>"Trang 10 → lọc Tuần "&amp;A26</x:f>
        <x:v>Trang 10 → lọc Tuần 4</x:v>
      </x:c>
      <x:c r="F26" s="158" t="str">
        <x:v>Ghi chú học tập và danh sách câu hỏi</x:v>
      </x:c>
      <x:c r="G26" s="158" t="str">
        <x:v>Có</x:v>
      </x:c>
      <x:c r="H26" s="158" t="str">
        <x:v>Chưa bắt đầu</x:v>
      </x:c>
      <x:c r="I26" s="245" t="n">
        <x:v>0</x:v>
      </x:c>
      <x:c r="J26" s="158" t="str"/>
      <x:c r="K26" s="158" t="str"/>
      <x:c r="L26" s="194" t="n">
        <x:f>IFERROR(MIN(I26/D26,1),0)</x:f>
        <x:v>0</x:v>
      </x:c>
    </x:row>
    <x:row r="27" ht="56" customHeight="1">
      <x:c r="A27" s="158" t="n">
        <x:v>4</x:v>
      </x:c>
      <x:c r="B27" s="158" t="str">
        <x:v>Ghi chú kiến thức</x:v>
      </x:c>
      <x:c r="C27" s="158" t="str">
        <x:v>Viết bản tóm tắt một trang về JVM, bộ nhớ và phân tích hiệu năng; nêu ít nhất hai lựa chọn kỹ thuật và trade-off.</x:v>
      </x:c>
      <x:c r="D27" s="245" t="n">
        <x:v>1.5</x:v>
      </x:c>
      <x:c r="E27" s="158" t="str">
        <x:f>"Trang 10 → lọc Tuần "&amp;A27</x:f>
        <x:v>Trang 10 → lọc Tuần 4</x:v>
      </x:c>
      <x:c r="F27" s="158" t="str">
        <x:v>Tóm tắt một trang/ADR ngắn</x:v>
      </x:c>
      <x:c r="G27" s="158" t="str">
        <x:v>Có</x:v>
      </x:c>
      <x:c r="H27" s="158" t="str">
        <x:v>Chưa bắt đầu</x:v>
      </x:c>
      <x:c r="I27" s="245" t="n">
        <x:v>0</x:v>
      </x:c>
      <x:c r="J27" s="158" t="str"/>
      <x:c r="K27" s="158" t="str"/>
      <x:c r="L27" s="194" t="n">
        <x:f>IFERROR(MIN(I27/D27,1),0)</x:f>
        <x:v>0</x:v>
      </x:c>
    </x:row>
    <x:row r="28" ht="56" customHeight="1">
      <x:c r="A28" s="158" t="n">
        <x:v>4</x:v>
      </x:c>
      <x:c r="B28" s="158" t="str">
        <x:v>Xây dựng</x:v>
      </x:c>
      <x:c r="C28" s="158" t="str">
        <x:v>Thực hiện mục tiêu: Tìm và sửa một vấn đề bộ nhớ hoặc CPU trong ứng dụng mẫu. Chia commit nhỏ, thông điệp commit rõ ràng.</x:v>
      </x:c>
      <x:c r="D28" s="245" t="n">
        <x:v>4</x:v>
      </x:c>
      <x:c r="E28" s="158" t="str">
        <x:f>"Trang 10 → lọc Tuần "&amp;A28</x:f>
        <x:v>Trang 10 → lọc Tuần 4</x:v>
      </x:c>
      <x:c r="F28" s="158" t="str">
        <x:v>Mã nguồn hoặc cấu hình chạy được</x:v>
      </x:c>
      <x:c r="G28" s="158" t="str">
        <x:v>Có</x:v>
      </x:c>
      <x:c r="H28" s="158" t="str">
        <x:v>Chưa bắt đầu</x:v>
      </x:c>
      <x:c r="I28" s="245" t="n">
        <x:v>0</x:v>
      </x:c>
      <x:c r="J28" s="158" t="str"/>
      <x:c r="K28" s="158" t="str"/>
      <x:c r="L28" s="194" t="n">
        <x:f>IFERROR(MIN(I28/D28,1),0)</x:f>
        <x:v>0</x:v>
      </x:c>
    </x:row>
    <x:row r="29" ht="56" customHeight="1">
      <x:c r="A29" s="158" t="n">
        <x:v>4</x:v>
      </x:c>
      <x:c r="B29" s="158" t="str">
        <x:v>Kiểm thử</x:v>
      </x:c>
      <x:c r="C29" s="158" t="str">
        <x:v>Viết kiểm thử cho ba tiêu chí: Đọc được các phần chính của thread dump; Phân biệt được memory leak với tải bộ nhớ tạm thời; Tạo và phân tích được bản ghi JFR.</x:v>
      </x:c>
      <x:c r="D29" s="245" t="n">
        <x:v>2</x:v>
      </x:c>
      <x:c r="E29" s="158" t="str">
        <x:f>"Trang 10 → lọc Tuần "&amp;A29</x:f>
        <x:v>Trang 10 → lọc Tuần 4</x:v>
      </x:c>
      <x:c r="F29" s="158" t="str">
        <x:v>Bộ kiểm thử và kết quả chạy</x:v>
      </x:c>
      <x:c r="G29" s="158" t="str">
        <x:v>Có</x:v>
      </x:c>
      <x:c r="H29" s="158" t="str">
        <x:v>Chưa bắt đầu</x:v>
      </x:c>
      <x:c r="I29" s="245" t="n">
        <x:v>0</x:v>
      </x:c>
      <x:c r="J29" s="158" t="str"/>
      <x:c r="K29" s="158" t="str"/>
      <x:c r="L29" s="194" t="n">
        <x:f>IFERROR(MIN(I29/D29,1),0)</x:f>
        <x:v>0</x:v>
      </x:c>
    </x:row>
    <x:row r="30" ht="56" customHeight="1">
      <x:c r="A30" s="158" t="n">
        <x:v>4</x:v>
      </x:c>
      <x:c r="B30" s="158" t="str">
        <x:v>Tài liệu hóa</x:v>
      </x:c>
      <x:c r="C30" s="158" t="str">
        <x:v>Cập nhật JFR recording; báo cáo trước–sau; checklist điều tra JVM; bổ sung sơ đồ hoặc bảng quyết định khi phù hợp.</x:v>
      </x:c>
      <x:c r="D30" s="245" t="n">
        <x:v>1.5</x:v>
      </x:c>
      <x:c r="E30" s="158" t="str">
        <x:f>"Trang 10 → lọc Tuần "&amp;A30</x:f>
        <x:v>Trang 10 → lọc Tuần 4</x:v>
      </x:c>
      <x:c r="F30" s="158" t="str">
        <x:v>Tài liệu/sơ đồ/báo cáo</x:v>
      </x:c>
      <x:c r="G30" s="158" t="str">
        <x:v>Có</x:v>
      </x:c>
      <x:c r="H30" s="158" t="str">
        <x:v>Chưa bắt đầu</x:v>
      </x:c>
      <x:c r="I30" s="245" t="n">
        <x:v>0</x:v>
      </x:c>
      <x:c r="J30" s="158" t="str"/>
      <x:c r="K30" s="158" t="str"/>
      <x:c r="L30" s="194" t="n">
        <x:f>IFERROR(MIN(I30/D30,1),0)</x:f>
        <x:v>0</x:v>
      </x:c>
    </x:row>
    <x:row r="31" ht="56" customHeight="1">
      <x:c r="A31" s="158" t="n">
        <x:v>4</x:v>
      </x:c>
      <x:c r="B31" s="158" t="str">
        <x:v>Tiếng Anh kỹ thuật</x:v>
      </x:c>
      <x:c r="C31" s="158" t="str">
        <x:v>Trình bày JVM, bộ nhớ và phân tích hiệu năng bằng tiếng Anh 5–10 phút; ghi âm và tự ghi ba lỗi cần sửa.</x:v>
      </x:c>
      <x:c r="D31" s="245" t="n">
        <x:v>1.5</x:v>
      </x:c>
      <x:c r="E31" s="158" t="str">
        <x:f>"Trang 10 → lọc Tuần "&amp;A31</x:f>
        <x:v>Trang 10 → lọc Tuần 4</x:v>
      </x:c>
      <x:c r="F31" s="158" t="str">
        <x:v>Bản ghi âm và danh sách lỗi</x:v>
      </x:c>
      <x:c r="G31" s="158" t="str">
        <x:v>Có</x:v>
      </x:c>
      <x:c r="H31" s="158" t="str">
        <x:v>Chưa bắt đầu</x:v>
      </x:c>
      <x:c r="I31" s="245" t="n">
        <x:v>0</x:v>
      </x:c>
      <x:c r="J31" s="158" t="str"/>
      <x:c r="K31" s="158" t="str"/>
      <x:c r="L31" s="194" t="n">
        <x:f>IFERROR(MIN(I31/D31,1),0)</x:f>
        <x:v>0</x:v>
      </x:c>
    </x:row>
    <x:row r="32" ht="56" customHeight="1">
      <x:c r="A32" s="158" t="n">
        <x:v>4</x:v>
      </x:c>
      <x:c r="B32" s="158" t="str">
        <x:v>Đánh giá tuần</x:v>
      </x:c>
      <x:c r="C32" s="158" t="str">
        <x:v>Tự kiểm tra 10 câu, đánh giá toàn bộ checklist tuần, chốt tồn đọng và kế hoạch sửa.</x:v>
      </x:c>
      <x:c r="D32" s="245" t="n">
        <x:v>2</x:v>
      </x:c>
      <x:c r="E32" s="158" t="str">
        <x:f>"Trang 10 → lọc Tuần "&amp;A32</x:f>
        <x:v>Trang 10 → lọc Tuần 4</x:v>
      </x:c>
      <x:c r="F32" s="158" t="str">
        <x:v>Điểm tự kiểm tra và retrospective</x:v>
      </x:c>
      <x:c r="G32" s="158" t="str">
        <x:v>Có</x:v>
      </x:c>
      <x:c r="H32" s="158" t="str">
        <x:v>Chưa bắt đầu</x:v>
      </x:c>
      <x:c r="I32" s="245" t="n">
        <x:v>0</x:v>
      </x:c>
      <x:c r="J32" s="158" t="str"/>
      <x:c r="K32" s="158" t="str"/>
      <x:c r="L32" s="194" t="n">
        <x:f>IFERROR(MIN(I32/D32,1),0)</x:f>
        <x:v>0</x:v>
      </x:c>
    </x:row>
    <x:row r="33" ht="56" customHeight="1">
      <x:c r="A33" s="158" t="n">
        <x:v>5</x:v>
      </x:c>
      <x:c r="B33" s="158" t="str">
        <x:v>Học trọng tâm</x:v>
      </x:c>
      <x:c r="C33" s="158" t="str">
        <x:v>Đọc tài liệu R04, R30; tập trung: Auto-configuration, dependency injection, configuration properties, profile và kiến trúc phân lớp. Ghi lại thuật ngữ, quy tắc và điểm chưa hiểu.</x:v>
      </x:c>
      <x:c r="D33" s="245" t="n">
        <x:v>2.5</x:v>
      </x:c>
      <x:c r="E33" s="158" t="str">
        <x:f>"Trang 10 → lọc Tuần "&amp;A33</x:f>
        <x:v>Trang 10 → lọc Tuần 5</x:v>
      </x:c>
      <x:c r="F33" s="158" t="str">
        <x:v>Ghi chú học tập và danh sách câu hỏi</x:v>
      </x:c>
      <x:c r="G33" s="158" t="str">
        <x:v>Có</x:v>
      </x:c>
      <x:c r="H33" s="158" t="str">
        <x:v>Chưa bắt đầu</x:v>
      </x:c>
      <x:c r="I33" s="245" t="n">
        <x:v>0</x:v>
      </x:c>
      <x:c r="J33" s="158" t="str"/>
      <x:c r="K33" s="158" t="str"/>
      <x:c r="L33" s="194" t="n">
        <x:f>IFERROR(MIN(I33/D33,1),0)</x:f>
        <x:v>0</x:v>
      </x:c>
    </x:row>
    <x:row r="34" ht="56" customHeight="1">
      <x:c r="A34" s="158" t="n">
        <x:v>5</x:v>
      </x:c>
      <x:c r="B34" s="158" t="str">
        <x:v>Ghi chú kiến thức</x:v>
      </x:c>
      <x:c r="C34" s="158" t="str">
        <x:v>Viết bản tóm tắt một trang về Kiến trúc ứng dụng Spring Boot; nêu ít nhất hai lựa chọn kỹ thuật và trade-off.</x:v>
      </x:c>
      <x:c r="D34" s="245" t="n">
        <x:v>1.5</x:v>
      </x:c>
      <x:c r="E34" s="158" t="str">
        <x:f>"Trang 10 → lọc Tuần "&amp;A34</x:f>
        <x:v>Trang 10 → lọc Tuần 5</x:v>
      </x:c>
      <x:c r="F34" s="158" t="str">
        <x:v>Tóm tắt một trang/ADR ngắn</x:v>
      </x:c>
      <x:c r="G34" s="158" t="str">
        <x:v>Có</x:v>
      </x:c>
      <x:c r="H34" s="158" t="str">
        <x:v>Chưa bắt đầu</x:v>
      </x:c>
      <x:c r="I34" s="245" t="n">
        <x:v>0</x:v>
      </x:c>
      <x:c r="J34" s="158" t="str"/>
      <x:c r="K34" s="158" t="str"/>
      <x:c r="L34" s="194" t="n">
        <x:f>IFERROR(MIN(I34/D34,1),0)</x:f>
        <x:v>0</x:v>
      </x:c>
    </x:row>
    <x:row r="35" ht="56" customHeight="1">
      <x:c r="A35" s="158" t="n">
        <x:v>5</x:v>
      </x:c>
      <x:c r="B35" s="158" t="str">
        <x:v>Xây dựng</x:v>
      </x:c>
      <x:c r="C35" s="158" t="str">
        <x:v>Thực hiện mục tiêu: Xây skeleton ứng dụng theo module nghiệp vụ, tách rõ domain–application–infrastructure. Chia commit nhỏ, thông điệp commit rõ ràng.</x:v>
      </x:c>
      <x:c r="D35" s="245" t="n">
        <x:v>4</x:v>
      </x:c>
      <x:c r="E35" s="158" t="str">
        <x:f>"Trang 10 → lọc Tuần "&amp;A35</x:f>
        <x:v>Trang 10 → lọc Tuần 5</x:v>
      </x:c>
      <x:c r="F35" s="158" t="str">
        <x:v>Mã nguồn hoặc cấu hình chạy được</x:v>
      </x:c>
      <x:c r="G35" s="158" t="str">
        <x:v>Có</x:v>
      </x:c>
      <x:c r="H35" s="158" t="str">
        <x:v>Chưa bắt đầu</x:v>
      </x:c>
      <x:c r="I35" s="245" t="n">
        <x:v>0</x:v>
      </x:c>
      <x:c r="J35" s="158" t="str"/>
      <x:c r="K35" s="158" t="str"/>
      <x:c r="L35" s="194" t="n">
        <x:f>IFERROR(MIN(I35/D35,1),0)</x:f>
        <x:v>0</x:v>
      </x:c>
    </x:row>
    <x:row r="36" ht="56" customHeight="1">
      <x:c r="A36" s="158" t="n">
        <x:v>5</x:v>
      </x:c>
      <x:c r="B36" s="158" t="str">
        <x:v>Kiểm thử</x:v>
      </x:c>
      <x:c r="C36" s="158" t="str">
        <x:v>Viết kiểm thử cho ba tiêu chí: Ứng dụng chạy trên Java 21 và Spring Boot 3; Không đặt toàn bộ logic trong controller hoặc service duy nhất; Cấu hình được kiểm tra kiểu bằng ConfigurationProperties.</x:v>
      </x:c>
      <x:c r="D36" s="245" t="n">
        <x:v>2</x:v>
      </x:c>
      <x:c r="E36" s="158" t="str">
        <x:f>"Trang 10 → lọc Tuần "&amp;A36</x:f>
        <x:v>Trang 10 → lọc Tuần 5</x:v>
      </x:c>
      <x:c r="F36" s="158" t="str">
        <x:v>Bộ kiểm thử và kết quả chạy</x:v>
      </x:c>
      <x:c r="G36" s="158" t="str">
        <x:v>Có</x:v>
      </x:c>
      <x:c r="H36" s="158" t="str">
        <x:v>Chưa bắt đầu</x:v>
      </x:c>
      <x:c r="I36" s="245" t="n">
        <x:v>0</x:v>
      </x:c>
      <x:c r="J36" s="158" t="str"/>
      <x:c r="K36" s="158" t="str"/>
      <x:c r="L36" s="194" t="n">
        <x:f>IFERROR(MIN(I36/D36,1),0)</x:f>
        <x:v>0</x:v>
      </x:c>
    </x:row>
    <x:row r="37" ht="56" customHeight="1">
      <x:c r="A37" s="158" t="n">
        <x:v>5</x:v>
      </x:c>
      <x:c r="B37" s="158" t="str">
        <x:v>Tài liệu hóa</x:v>
      </x:c>
      <x:c r="C37" s="158" t="str">
        <x:v>Cập nhật Spring Boot skeleton; sơ đồ module; ADR-001; bổ sung sơ đồ hoặc bảng quyết định khi phù hợp.</x:v>
      </x:c>
      <x:c r="D37" s="245" t="n">
        <x:v>1.5</x:v>
      </x:c>
      <x:c r="E37" s="158" t="str">
        <x:f>"Trang 10 → lọc Tuần "&amp;A37</x:f>
        <x:v>Trang 10 → lọc Tuần 5</x:v>
      </x:c>
      <x:c r="F37" s="158" t="str">
        <x:v>Tài liệu/sơ đồ/báo cáo</x:v>
      </x:c>
      <x:c r="G37" s="158" t="str">
        <x:v>Có</x:v>
      </x:c>
      <x:c r="H37" s="158" t="str">
        <x:v>Chưa bắt đầu</x:v>
      </x:c>
      <x:c r="I37" s="245" t="n">
        <x:v>0</x:v>
      </x:c>
      <x:c r="J37" s="158" t="str"/>
      <x:c r="K37" s="158" t="str"/>
      <x:c r="L37" s="194" t="n">
        <x:f>IFERROR(MIN(I37/D37,1),0)</x:f>
        <x:v>0</x:v>
      </x:c>
    </x:row>
    <x:row r="38" ht="56" customHeight="1">
      <x:c r="A38" s="158" t="n">
        <x:v>5</x:v>
      </x:c>
      <x:c r="B38" s="158" t="str">
        <x:v>Tiếng Anh kỹ thuật</x:v>
      </x:c>
      <x:c r="C38" s="158" t="str">
        <x:v>Trình bày Kiến trúc ứng dụng Spring Boot bằng tiếng Anh 5–10 phút; ghi âm và tự ghi ba lỗi cần sửa.</x:v>
      </x:c>
      <x:c r="D38" s="245" t="n">
        <x:v>1.5</x:v>
      </x:c>
      <x:c r="E38" s="158" t="str">
        <x:f>"Trang 10 → lọc Tuần "&amp;A38</x:f>
        <x:v>Trang 10 → lọc Tuần 5</x:v>
      </x:c>
      <x:c r="F38" s="158" t="str">
        <x:v>Bản ghi âm và danh sách lỗi</x:v>
      </x:c>
      <x:c r="G38" s="158" t="str">
        <x:v>Có</x:v>
      </x:c>
      <x:c r="H38" s="158" t="str">
        <x:v>Chưa bắt đầu</x:v>
      </x:c>
      <x:c r="I38" s="245" t="n">
        <x:v>0</x:v>
      </x:c>
      <x:c r="J38" s="158" t="str"/>
      <x:c r="K38" s="158" t="str"/>
      <x:c r="L38" s="194" t="n">
        <x:f>IFERROR(MIN(I38/D38,1),0)</x:f>
        <x:v>0</x:v>
      </x:c>
    </x:row>
    <x:row r="39" ht="56" customHeight="1">
      <x:c r="A39" s="158" t="n">
        <x:v>5</x:v>
      </x:c>
      <x:c r="B39" s="158" t="str">
        <x:v>Đánh giá tuần</x:v>
      </x:c>
      <x:c r="C39" s="158" t="str">
        <x:v>Tự kiểm tra 10 câu, đánh giá toàn bộ checklist tuần, chốt tồn đọng và kế hoạch sửa.</x:v>
      </x:c>
      <x:c r="D39" s="245" t="n">
        <x:v>2</x:v>
      </x:c>
      <x:c r="E39" s="158" t="str">
        <x:f>"Trang 10 → lọc Tuần "&amp;A39</x:f>
        <x:v>Trang 10 → lọc Tuần 5</x:v>
      </x:c>
      <x:c r="F39" s="158" t="str">
        <x:v>Điểm tự kiểm tra và retrospective</x:v>
      </x:c>
      <x:c r="G39" s="158" t="str">
        <x:v>Có</x:v>
      </x:c>
      <x:c r="H39" s="158" t="str">
        <x:v>Chưa bắt đầu</x:v>
      </x:c>
      <x:c r="I39" s="245" t="n">
        <x:v>0</x:v>
      </x:c>
      <x:c r="J39" s="158" t="str"/>
      <x:c r="K39" s="158" t="str"/>
      <x:c r="L39" s="194" t="n">
        <x:f>IFERROR(MIN(I39/D39,1),0)</x:f>
        <x:v>0</x:v>
      </x:c>
    </x:row>
    <x:row r="40" ht="56" customHeight="1">
      <x:c r="A40" s="158" t="n">
        <x:v>6</x:v>
      </x:c>
      <x:c r="B40" s="158" t="str">
        <x:v>Học trọng tâm</x:v>
      </x:c>
      <x:c r="C40" s="158" t="str">
        <x:v>Đọc tài liệu R05, R29, R36; tập trung: Resource modeling, status code, validation, error contract, pagination, idempotency header và versioning. Ghi lại thuật ngữ, quy tắc và điểm chưa hiểu.</x:v>
      </x:c>
      <x:c r="D40" s="245" t="n">
        <x:v>2.5</x:v>
      </x:c>
      <x:c r="E40" s="158" t="str">
        <x:f>"Trang 10 → lọc Tuần "&amp;A40</x:f>
        <x:v>Trang 10 → lọc Tuần 6</x:v>
      </x:c>
      <x:c r="F40" s="158" t="str">
        <x:v>Ghi chú học tập và danh sách câu hỏi</x:v>
      </x:c>
      <x:c r="G40" s="158" t="str">
        <x:v>Có</x:v>
      </x:c>
      <x:c r="H40" s="158" t="str">
        <x:v>Chưa bắt đầu</x:v>
      </x:c>
      <x:c r="I40" s="245" t="n">
        <x:v>0</x:v>
      </x:c>
      <x:c r="J40" s="158" t="str"/>
      <x:c r="K40" s="158" t="str"/>
      <x:c r="L40" s="194" t="n">
        <x:f>IFERROR(MIN(I40/D40,1),0)</x:f>
        <x:v>0</x:v>
      </x:c>
    </x:row>
    <x:row r="41" ht="56" customHeight="1">
      <x:c r="A41" s="158" t="n">
        <x:v>6</x:v>
      </x:c>
      <x:c r="B41" s="158" t="str">
        <x:v>Ghi chú kiến thức</x:v>
      </x:c>
      <x:c r="C41" s="158" t="str">
        <x:v>Viết bản tóm tắt một trang về Thiết kế REST API và hợp đồng OpenAPI; nêu ít nhất hai lựa chọn kỹ thuật và trade-off.</x:v>
      </x:c>
      <x:c r="D41" s="245" t="n">
        <x:v>1.5</x:v>
      </x:c>
      <x:c r="E41" s="158" t="str">
        <x:f>"Trang 10 → lọc Tuần "&amp;A41</x:f>
        <x:v>Trang 10 → lọc Tuần 6</x:v>
      </x:c>
      <x:c r="F41" s="158" t="str">
        <x:v>Tóm tắt một trang/ADR ngắn</x:v>
      </x:c>
      <x:c r="G41" s="158" t="str">
        <x:v>Có</x:v>
      </x:c>
      <x:c r="H41" s="158" t="str">
        <x:v>Chưa bắt đầu</x:v>
      </x:c>
      <x:c r="I41" s="245" t="n">
        <x:v>0</x:v>
      </x:c>
      <x:c r="J41" s="158" t="str"/>
      <x:c r="K41" s="158" t="str"/>
      <x:c r="L41" s="194" t="n">
        <x:f>IFERROR(MIN(I41/D41,1),0)</x:f>
        <x:v>0</x:v>
      </x:c>
    </x:row>
    <x:row r="42" ht="56" customHeight="1">
      <x:c r="A42" s="158" t="n">
        <x:v>6</x:v>
      </x:c>
      <x:c r="B42" s="158" t="str">
        <x:v>Xây dựng</x:v>
      </x:c>
      <x:c r="C42" s="158" t="str">
        <x:v>Thực hiện mục tiêu: Thiết kế API tài khoản và chuyển tiền theo hướng contract-first. Chia commit nhỏ, thông điệp commit rõ ràng.</x:v>
      </x:c>
      <x:c r="D42" s="245" t="n">
        <x:v>4</x:v>
      </x:c>
      <x:c r="E42" s="158" t="str">
        <x:f>"Trang 10 → lọc Tuần "&amp;A42</x:f>
        <x:v>Trang 10 → lọc Tuần 6</x:v>
      </x:c>
      <x:c r="F42" s="158" t="str">
        <x:v>Mã nguồn hoặc cấu hình chạy được</x:v>
      </x:c>
      <x:c r="G42" s="158" t="str">
        <x:v>Có</x:v>
      </x:c>
      <x:c r="H42" s="158" t="str">
        <x:v>Chưa bắt đầu</x:v>
      </x:c>
      <x:c r="I42" s="245" t="n">
        <x:v>0</x:v>
      </x:c>
      <x:c r="J42" s="158" t="str"/>
      <x:c r="K42" s="158" t="str"/>
      <x:c r="L42" s="194" t="n">
        <x:f>IFERROR(MIN(I42/D42,1),0)</x:f>
        <x:v>0</x:v>
      </x:c>
    </x:row>
    <x:row r="43" ht="56" customHeight="1">
      <x:c r="A43" s="158" t="n">
        <x:v>6</x:v>
      </x:c>
      <x:c r="B43" s="158" t="str">
        <x:v>Kiểm thử</x:v>
      </x:c>
      <x:c r="C43" s="158" t="str">
        <x:v>Viết kiểm thử cho ba tiêu chí: OpenAPI mô tả đủ request, response và lỗi; Status code phù hợp với từng tình huống; Validation trả về lỗi có cấu trúc thống nhất.</x:v>
      </x:c>
      <x:c r="D43" s="245" t="n">
        <x:v>2</x:v>
      </x:c>
      <x:c r="E43" s="158" t="str">
        <x:f>"Trang 10 → lọc Tuần "&amp;A43</x:f>
        <x:v>Trang 10 → lọc Tuần 6</x:v>
      </x:c>
      <x:c r="F43" s="158" t="str">
        <x:v>Bộ kiểm thử và kết quả chạy</x:v>
      </x:c>
      <x:c r="G43" s="158" t="str">
        <x:v>Có</x:v>
      </x:c>
      <x:c r="H43" s="158" t="str">
        <x:v>Chưa bắt đầu</x:v>
      </x:c>
      <x:c r="I43" s="245" t="n">
        <x:v>0</x:v>
      </x:c>
      <x:c r="J43" s="158" t="str"/>
      <x:c r="K43" s="158" t="str"/>
      <x:c r="L43" s="194" t="n">
        <x:f>IFERROR(MIN(I43/D43,1),0)</x:f>
        <x:v>0</x:v>
      </x:c>
    </x:row>
    <x:row r="44" ht="56" customHeight="1">
      <x:c r="A44" s="158" t="n">
        <x:v>6</x:v>
      </x:c>
      <x:c r="B44" s="158" t="str">
        <x:v>Tài liệu hóa</x:v>
      </x:c>
      <x:c r="C44" s="158" t="str">
        <x:v>Cập nhật openapi.yaml; controller; global error handler; bộ kiểm thử API; bổ sung sơ đồ hoặc bảng quyết định khi phù hợp.</x:v>
      </x:c>
      <x:c r="D44" s="245" t="n">
        <x:v>1.5</x:v>
      </x:c>
      <x:c r="E44" s="158" t="str">
        <x:f>"Trang 10 → lọc Tuần "&amp;A44</x:f>
        <x:v>Trang 10 → lọc Tuần 6</x:v>
      </x:c>
      <x:c r="F44" s="158" t="str">
        <x:v>Tài liệu/sơ đồ/báo cáo</x:v>
      </x:c>
      <x:c r="G44" s="158" t="str">
        <x:v>Có</x:v>
      </x:c>
      <x:c r="H44" s="158" t="str">
        <x:v>Chưa bắt đầu</x:v>
      </x:c>
      <x:c r="I44" s="245" t="n">
        <x:v>0</x:v>
      </x:c>
      <x:c r="J44" s="158" t="str"/>
      <x:c r="K44" s="158" t="str"/>
      <x:c r="L44" s="194" t="n">
        <x:f>IFERROR(MIN(I44/D44,1),0)</x:f>
        <x:v>0</x:v>
      </x:c>
    </x:row>
    <x:row r="45" ht="56" customHeight="1">
      <x:c r="A45" s="158" t="n">
        <x:v>6</x:v>
      </x:c>
      <x:c r="B45" s="158" t="str">
        <x:v>Tiếng Anh kỹ thuật</x:v>
      </x:c>
      <x:c r="C45" s="158" t="str">
        <x:v>Trình bày Thiết kế REST API và hợp đồng OpenAPI bằng tiếng Anh 5–10 phút; ghi âm và tự ghi ba lỗi cần sửa.</x:v>
      </x:c>
      <x:c r="D45" s="245" t="n">
        <x:v>1.5</x:v>
      </x:c>
      <x:c r="E45" s="158" t="str">
        <x:f>"Trang 10 → lọc Tuần "&amp;A45</x:f>
        <x:v>Trang 10 → lọc Tuần 6</x:v>
      </x:c>
      <x:c r="F45" s="158" t="str">
        <x:v>Bản ghi âm và danh sách lỗi</x:v>
      </x:c>
      <x:c r="G45" s="158" t="str">
        <x:v>Có</x:v>
      </x:c>
      <x:c r="H45" s="158" t="str">
        <x:v>Chưa bắt đầu</x:v>
      </x:c>
      <x:c r="I45" s="245" t="n">
        <x:v>0</x:v>
      </x:c>
      <x:c r="J45" s="158" t="str"/>
      <x:c r="K45" s="158" t="str"/>
      <x:c r="L45" s="194" t="n">
        <x:f>IFERROR(MIN(I45/D45,1),0)</x:f>
        <x:v>0</x:v>
      </x:c>
    </x:row>
    <x:row r="46" ht="56" customHeight="1">
      <x:c r="A46" s="158" t="n">
        <x:v>6</x:v>
      </x:c>
      <x:c r="B46" s="158" t="str">
        <x:v>Đánh giá tuần</x:v>
      </x:c>
      <x:c r="C46" s="158" t="str">
        <x:v>Tự kiểm tra 10 câu, đánh giá toàn bộ checklist tuần, chốt tồn đọng và kế hoạch sửa.</x:v>
      </x:c>
      <x:c r="D46" s="245" t="n">
        <x:v>2</x:v>
      </x:c>
      <x:c r="E46" s="158" t="str">
        <x:f>"Trang 10 → lọc Tuần "&amp;A46</x:f>
        <x:v>Trang 10 → lọc Tuần 6</x:v>
      </x:c>
      <x:c r="F46" s="158" t="str">
        <x:v>Điểm tự kiểm tra và retrospective</x:v>
      </x:c>
      <x:c r="G46" s="158" t="str">
        <x:v>Có</x:v>
      </x:c>
      <x:c r="H46" s="158" t="str">
        <x:v>Chưa bắt đầu</x:v>
      </x:c>
      <x:c r="I46" s="245" t="n">
        <x:v>0</x:v>
      </x:c>
      <x:c r="J46" s="158" t="str"/>
      <x:c r="K46" s="158" t="str"/>
      <x:c r="L46" s="194" t="n">
        <x:f>IFERROR(MIN(I46/D46,1),0)</x:f>
        <x:v>0</x:v>
      </x:c>
    </x:row>
    <x:row r="47" ht="56" customHeight="1">
      <x:c r="A47" s="158" t="n">
        <x:v>7</x:v>
      </x:c>
      <x:c r="B47" s="158" t="str">
        <x:v>Học trọng tâm</x:v>
      </x:c>
      <x:c r="C47" s="158" t="str">
        <x:v>Đọc tài liệu R06, R07, R37; tập trung: Entity lifecycle, N+1, transaction boundary, optimistic lock, pessimistic lock và isolation level. Ghi lại thuật ngữ, quy tắc và điểm chưa hiểu.</x:v>
      </x:c>
      <x:c r="D47" s="245" t="n">
        <x:v>2.5</x:v>
      </x:c>
      <x:c r="E47" s="158" t="str">
        <x:f>"Trang 10 → lọc Tuần "&amp;A47</x:f>
        <x:v>Trang 10 → lọc Tuần 7</x:v>
      </x:c>
      <x:c r="F47" s="158" t="str">
        <x:v>Ghi chú học tập và danh sách câu hỏi</x:v>
      </x:c>
      <x:c r="G47" s="158" t="str">
        <x:v>Có</x:v>
      </x:c>
      <x:c r="H47" s="158" t="str">
        <x:v>Chưa bắt đầu</x:v>
      </x:c>
      <x:c r="I47" s="245" t="n">
        <x:v>0</x:v>
      </x:c>
      <x:c r="J47" s="158" t="str"/>
      <x:c r="K47" s="158" t="str"/>
      <x:c r="L47" s="194" t="n">
        <x:f>IFERROR(MIN(I47/D47,1),0)</x:f>
        <x:v>0</x:v>
      </x:c>
    </x:row>
    <x:row r="48" ht="56" customHeight="1">
      <x:c r="A48" s="158" t="n">
        <x:v>7</x:v>
      </x:c>
      <x:c r="B48" s="158" t="str">
        <x:v>Ghi chú kiến thức</x:v>
      </x:c>
      <x:c r="C48" s="158" t="str">
        <x:v>Viết bản tóm tắt một trang về JPA, giao dịch và khóa dữ liệu; nêu ít nhất hai lựa chọn kỹ thuật và trade-off.</x:v>
      </x:c>
      <x:c r="D48" s="245" t="n">
        <x:v>1.5</x:v>
      </x:c>
      <x:c r="E48" s="158" t="str">
        <x:f>"Trang 10 → lọc Tuần "&amp;A48</x:f>
        <x:v>Trang 10 → lọc Tuần 7</x:v>
      </x:c>
      <x:c r="F48" s="158" t="str">
        <x:v>Tóm tắt một trang/ADR ngắn</x:v>
      </x:c>
      <x:c r="G48" s="158" t="str">
        <x:v>Có</x:v>
      </x:c>
      <x:c r="H48" s="158" t="str">
        <x:v>Chưa bắt đầu</x:v>
      </x:c>
      <x:c r="I48" s="245" t="n">
        <x:v>0</x:v>
      </x:c>
      <x:c r="J48" s="158" t="str"/>
      <x:c r="K48" s="158" t="str"/>
      <x:c r="L48" s="194" t="n">
        <x:f>IFERROR(MIN(I48/D48,1),0)</x:f>
        <x:v>0</x:v>
      </x:c>
    </x:row>
    <x:row r="49" ht="56" customHeight="1">
      <x:c r="A49" s="158" t="n">
        <x:v>7</x:v>
      </x:c>
      <x:c r="B49" s="158" t="str">
        <x:v>Xây dựng</x:v>
      </x:c>
      <x:c r="C49" s="158" t="str">
        <x:v>Thực hiện mục tiêu: Tái hiện lost update và triển khai hai phương án ngăn chặn. Chia commit nhỏ, thông điệp commit rõ ràng.</x:v>
      </x:c>
      <x:c r="D49" s="245" t="n">
        <x:v>4</x:v>
      </x:c>
      <x:c r="E49" s="158" t="str">
        <x:f>"Trang 10 → lọc Tuần "&amp;A49</x:f>
        <x:v>Trang 10 → lọc Tuần 7</x:v>
      </x:c>
      <x:c r="F49" s="158" t="str">
        <x:v>Mã nguồn hoặc cấu hình chạy được</x:v>
      </x:c>
      <x:c r="G49" s="158" t="str">
        <x:v>Có</x:v>
      </x:c>
      <x:c r="H49" s="158" t="str">
        <x:v>Chưa bắt đầu</x:v>
      </x:c>
      <x:c r="I49" s="245" t="n">
        <x:v>0</x:v>
      </x:c>
      <x:c r="J49" s="158" t="str"/>
      <x:c r="K49" s="158" t="str"/>
      <x:c r="L49" s="194" t="n">
        <x:f>IFERROR(MIN(I49/D49,1),0)</x:f>
        <x:v>0</x:v>
      </x:c>
    </x:row>
    <x:row r="50" ht="56" customHeight="1">
      <x:c r="A50" s="158" t="n">
        <x:v>7</x:v>
      </x:c>
      <x:c r="B50" s="158" t="str">
        <x:v>Kiểm thử</x:v>
      </x:c>
      <x:c r="C50" s="158" t="str">
        <x:v>Viết kiểm thử cho ba tiêu chí: Tái hiện được lost update bằng kiểm thử đồng thời; Optimistic locking phát hiện xung đột đúng; Pessimistic locking được giới hạn trong transaction ngắn.</x:v>
      </x:c>
      <x:c r="D50" s="245" t="n">
        <x:v>2</x:v>
      </x:c>
      <x:c r="E50" s="158" t="str">
        <x:f>"Trang 10 → lọc Tuần "&amp;A50</x:f>
        <x:v>Trang 10 → lọc Tuần 7</x:v>
      </x:c>
      <x:c r="F50" s="158" t="str">
        <x:v>Bộ kiểm thử và kết quả chạy</x:v>
      </x:c>
      <x:c r="G50" s="158" t="str">
        <x:v>Có</x:v>
      </x:c>
      <x:c r="H50" s="158" t="str">
        <x:v>Chưa bắt đầu</x:v>
      </x:c>
      <x:c r="I50" s="245" t="n">
        <x:v>0</x:v>
      </x:c>
      <x:c r="J50" s="158" t="str"/>
      <x:c r="K50" s="158" t="str"/>
      <x:c r="L50" s="194" t="n">
        <x:f>IFERROR(MIN(I50/D50,1),0)</x:f>
        <x:v>0</x:v>
      </x:c>
    </x:row>
    <x:row r="51" ht="56" customHeight="1">
      <x:c r="A51" s="158" t="n">
        <x:v>7</x:v>
      </x:c>
      <x:c r="B51" s="158" t="str">
        <x:v>Tài liệu hóa</x:v>
      </x:c>
      <x:c r="C51" s="158" t="str">
        <x:v>Cập nhật locking-lab; SQL log; báo cáo so sánh optimistic/pessimistic; bổ sung sơ đồ hoặc bảng quyết định khi phù hợp.</x:v>
      </x:c>
      <x:c r="D51" s="245" t="n">
        <x:v>1.5</x:v>
      </x:c>
      <x:c r="E51" s="158" t="str">
        <x:f>"Trang 10 → lọc Tuần "&amp;A51</x:f>
        <x:v>Trang 10 → lọc Tuần 7</x:v>
      </x:c>
      <x:c r="F51" s="158" t="str">
        <x:v>Tài liệu/sơ đồ/báo cáo</x:v>
      </x:c>
      <x:c r="G51" s="158" t="str">
        <x:v>Có</x:v>
      </x:c>
      <x:c r="H51" s="158" t="str">
        <x:v>Chưa bắt đầu</x:v>
      </x:c>
      <x:c r="I51" s="245" t="n">
        <x:v>0</x:v>
      </x:c>
      <x:c r="J51" s="158" t="str"/>
      <x:c r="K51" s="158" t="str"/>
      <x:c r="L51" s="194" t="n">
        <x:f>IFERROR(MIN(I51/D51,1),0)</x:f>
        <x:v>0</x:v>
      </x:c>
    </x:row>
    <x:row r="52" ht="56" customHeight="1">
      <x:c r="A52" s="158" t="n">
        <x:v>7</x:v>
      </x:c>
      <x:c r="B52" s="158" t="str">
        <x:v>Tiếng Anh kỹ thuật</x:v>
      </x:c>
      <x:c r="C52" s="158" t="str">
        <x:v>Trình bày JPA, giao dịch và khóa dữ liệu bằng tiếng Anh 5–10 phút; ghi âm và tự ghi ba lỗi cần sửa.</x:v>
      </x:c>
      <x:c r="D52" s="245" t="n">
        <x:v>1.5</x:v>
      </x:c>
      <x:c r="E52" s="158" t="str">
        <x:f>"Trang 10 → lọc Tuần "&amp;A52</x:f>
        <x:v>Trang 10 → lọc Tuần 7</x:v>
      </x:c>
      <x:c r="F52" s="158" t="str">
        <x:v>Bản ghi âm và danh sách lỗi</x:v>
      </x:c>
      <x:c r="G52" s="158" t="str">
        <x:v>Có</x:v>
      </x:c>
      <x:c r="H52" s="158" t="str">
        <x:v>Chưa bắt đầu</x:v>
      </x:c>
      <x:c r="I52" s="245" t="n">
        <x:v>0</x:v>
      </x:c>
      <x:c r="J52" s="158" t="str"/>
      <x:c r="K52" s="158" t="str"/>
      <x:c r="L52" s="194" t="n">
        <x:f>IFERROR(MIN(I52/D52,1),0)</x:f>
        <x:v>0</x:v>
      </x:c>
    </x:row>
    <x:row r="53" ht="56" customHeight="1">
      <x:c r="A53" s="158" t="n">
        <x:v>7</x:v>
      </x:c>
      <x:c r="B53" s="158" t="str">
        <x:v>Đánh giá tuần</x:v>
      </x:c>
      <x:c r="C53" s="158" t="str">
        <x:v>Tự kiểm tra 10 câu, đánh giá toàn bộ checklist tuần, chốt tồn đọng và kế hoạch sửa.</x:v>
      </x:c>
      <x:c r="D53" s="245" t="n">
        <x:v>2</x:v>
      </x:c>
      <x:c r="E53" s="158" t="str">
        <x:f>"Trang 10 → lọc Tuần "&amp;A53</x:f>
        <x:v>Trang 10 → lọc Tuần 7</x:v>
      </x:c>
      <x:c r="F53" s="158" t="str">
        <x:v>Điểm tự kiểm tra và retrospective</x:v>
      </x:c>
      <x:c r="G53" s="158" t="str">
        <x:v>Có</x:v>
      </x:c>
      <x:c r="H53" s="158" t="str">
        <x:v>Chưa bắt đầu</x:v>
      </x:c>
      <x:c r="I53" s="245" t="n">
        <x:v>0</x:v>
      </x:c>
      <x:c r="J53" s="158" t="str"/>
      <x:c r="K53" s="158" t="str"/>
      <x:c r="L53" s="194" t="n">
        <x:f>IFERROR(MIN(I53/D53,1),0)</x:f>
        <x:v>0</x:v>
      </x:c>
    </x:row>
    <x:row r="54" ht="56" customHeight="1">
      <x:c r="A54" s="158" t="n">
        <x:v>8</x:v>
      </x:c>
      <x:c r="B54" s="158" t="str">
        <x:v>Học trọng tâm</x:v>
      </x:c>
      <x:c r="C54" s="158" t="str">
        <x:v>Đọc tài liệu R07, R08; tập trung: EXPLAIN ANALYZE, index đơn–ghép, selectivity, partitioning, connection pool và truy vấn tổng hợp. Ghi lại thuật ngữ, quy tắc và điểm chưa hiểu.</x:v>
      </x:c>
      <x:c r="D54" s="245" t="n">
        <x:v>2.5</x:v>
      </x:c>
      <x:c r="E54" s="158" t="str">
        <x:f>"Trang 10 → lọc Tuần "&amp;A54</x:f>
        <x:v>Trang 10 → lọc Tuần 8</x:v>
      </x:c>
      <x:c r="F54" s="158" t="str">
        <x:v>Ghi chú học tập và danh sách câu hỏi</x:v>
      </x:c>
      <x:c r="G54" s="158" t="str">
        <x:v>Có</x:v>
      </x:c>
      <x:c r="H54" s="158" t="str">
        <x:v>Chưa bắt đầu</x:v>
      </x:c>
      <x:c r="I54" s="245" t="n">
        <x:v>0</x:v>
      </x:c>
      <x:c r="J54" s="158" t="str"/>
      <x:c r="K54" s="158" t="str"/>
      <x:c r="L54" s="194" t="n">
        <x:f>IFERROR(MIN(I54/D54,1),0)</x:f>
        <x:v>0</x:v>
      </x:c>
    </x:row>
    <x:row r="55" ht="56" customHeight="1">
      <x:c r="A55" s="158" t="n">
        <x:v>8</x:v>
      </x:c>
      <x:c r="B55" s="158" t="str">
        <x:v>Ghi chú kiến thức</x:v>
      </x:c>
      <x:c r="C55" s="158" t="str">
        <x:v>Viết bản tóm tắt một trang về PostgreSQL và tối ưu SQL; nêu ít nhất hai lựa chọn kỹ thuật và trade-off.</x:v>
      </x:c>
      <x:c r="D55" s="245" t="n">
        <x:v>1.5</x:v>
      </x:c>
      <x:c r="E55" s="158" t="str">
        <x:f>"Trang 10 → lọc Tuần "&amp;A55</x:f>
        <x:v>Trang 10 → lọc Tuần 8</x:v>
      </x:c>
      <x:c r="F55" s="158" t="str">
        <x:v>Tóm tắt một trang/ADR ngắn</x:v>
      </x:c>
      <x:c r="G55" s="158" t="str">
        <x:v>Có</x:v>
      </x:c>
      <x:c r="H55" s="158" t="str">
        <x:v>Chưa bắt đầu</x:v>
      </x:c>
      <x:c r="I55" s="245" t="n">
        <x:v>0</x:v>
      </x:c>
      <x:c r="J55" s="158" t="str"/>
      <x:c r="K55" s="158" t="str"/>
      <x:c r="L55" s="194" t="n">
        <x:f>IFERROR(MIN(I55/D55,1),0)</x:f>
        <x:v>0</x:v>
      </x:c>
    </x:row>
    <x:row r="56" ht="56" customHeight="1">
      <x:c r="A56" s="158" t="n">
        <x:v>8</x:v>
      </x:c>
      <x:c r="B56" s="158" t="str">
        <x:v>Xây dựng</x:v>
      </x:c>
      <x:c r="C56" s="158" t="str">
        <x:v>Thực hiện mục tiêu: Tối ưu ba truy vấn trên bộ dữ liệu tối thiểu 500.000 giao dịch. Chia commit nhỏ, thông điệp commit rõ ràng.</x:v>
      </x:c>
      <x:c r="D56" s="245" t="n">
        <x:v>4</x:v>
      </x:c>
      <x:c r="E56" s="158" t="str">
        <x:f>"Trang 10 → lọc Tuần "&amp;A56</x:f>
        <x:v>Trang 10 → lọc Tuần 8</x:v>
      </x:c>
      <x:c r="F56" s="158" t="str">
        <x:v>Mã nguồn hoặc cấu hình chạy được</x:v>
      </x:c>
      <x:c r="G56" s="158" t="str">
        <x:v>Có</x:v>
      </x:c>
      <x:c r="H56" s="158" t="str">
        <x:v>Chưa bắt đầu</x:v>
      </x:c>
      <x:c r="I56" s="245" t="n">
        <x:v>0</x:v>
      </x:c>
      <x:c r="J56" s="158" t="str"/>
      <x:c r="K56" s="158" t="str"/>
      <x:c r="L56" s="194" t="n">
        <x:f>IFERROR(MIN(I56/D56,1),0)</x:f>
        <x:v>0</x:v>
      </x:c>
    </x:row>
    <x:row r="57" ht="56" customHeight="1">
      <x:c r="A57" s="158" t="n">
        <x:v>8</x:v>
      </x:c>
      <x:c r="B57" s="158" t="str">
        <x:v>Kiểm thử</x:v>
      </x:c>
      <x:c r="C57" s="158" t="str">
        <x:v>Viết kiểm thử cho ba tiêu chí: Đọc được scan, join và cost trong execution plan; Mỗi index đều có lý do và truy vấn sử dụng thực tế; Có đo thời gian trước và sau tối ưu.</x:v>
      </x:c>
      <x:c r="D57" s="245" t="n">
        <x:v>2</x:v>
      </x:c>
      <x:c r="E57" s="158" t="str">
        <x:f>"Trang 10 → lọc Tuần "&amp;A57</x:f>
        <x:v>Trang 10 → lọc Tuần 8</x:v>
      </x:c>
      <x:c r="F57" s="158" t="str">
        <x:v>Bộ kiểm thử và kết quả chạy</x:v>
      </x:c>
      <x:c r="G57" s="158" t="str">
        <x:v>Có</x:v>
      </x:c>
      <x:c r="H57" s="158" t="str">
        <x:v>Chưa bắt đầu</x:v>
      </x:c>
      <x:c r="I57" s="245" t="n">
        <x:v>0</x:v>
      </x:c>
      <x:c r="J57" s="158" t="str"/>
      <x:c r="K57" s="158" t="str"/>
      <x:c r="L57" s="194" t="n">
        <x:f>IFERROR(MIN(I57/D57,1),0)</x:f>
        <x:v>0</x:v>
      </x:c>
    </x:row>
    <x:row r="58" ht="56" customHeight="1">
      <x:c r="A58" s="158" t="n">
        <x:v>8</x:v>
      </x:c>
      <x:c r="B58" s="158" t="str">
        <x:v>Tài liệu hóa</x:v>
      </x:c>
      <x:c r="C58" s="158" t="str">
        <x:v>Cập nhật seed data; execution plans; báo cáo trước–sau; bổ sung sơ đồ hoặc bảng quyết định khi phù hợp.</x:v>
      </x:c>
      <x:c r="D58" s="245" t="n">
        <x:v>1.5</x:v>
      </x:c>
      <x:c r="E58" s="158" t="str">
        <x:f>"Trang 10 → lọc Tuần "&amp;A58</x:f>
        <x:v>Trang 10 → lọc Tuần 8</x:v>
      </x:c>
      <x:c r="F58" s="158" t="str">
        <x:v>Tài liệu/sơ đồ/báo cáo</x:v>
      </x:c>
      <x:c r="G58" s="158" t="str">
        <x:v>Có</x:v>
      </x:c>
      <x:c r="H58" s="158" t="str">
        <x:v>Chưa bắt đầu</x:v>
      </x:c>
      <x:c r="I58" s="245" t="n">
        <x:v>0</x:v>
      </x:c>
      <x:c r="J58" s="158" t="str"/>
      <x:c r="K58" s="158" t="str"/>
      <x:c r="L58" s="194" t="n">
        <x:f>IFERROR(MIN(I58/D58,1),0)</x:f>
        <x:v>0</x:v>
      </x:c>
    </x:row>
    <x:row r="59" ht="56" customHeight="1">
      <x:c r="A59" s="158" t="n">
        <x:v>8</x:v>
      </x:c>
      <x:c r="B59" s="158" t="str">
        <x:v>Tiếng Anh kỹ thuật</x:v>
      </x:c>
      <x:c r="C59" s="158" t="str">
        <x:v>Trình bày PostgreSQL và tối ưu SQL bằng tiếng Anh 5–10 phút; ghi âm và tự ghi ba lỗi cần sửa.</x:v>
      </x:c>
      <x:c r="D59" s="245" t="n">
        <x:v>1.5</x:v>
      </x:c>
      <x:c r="E59" s="158" t="str">
        <x:f>"Trang 10 → lọc Tuần "&amp;A59</x:f>
        <x:v>Trang 10 → lọc Tuần 8</x:v>
      </x:c>
      <x:c r="F59" s="158" t="str">
        <x:v>Bản ghi âm và danh sách lỗi</x:v>
      </x:c>
      <x:c r="G59" s="158" t="str">
        <x:v>Có</x:v>
      </x:c>
      <x:c r="H59" s="158" t="str">
        <x:v>Chưa bắt đầu</x:v>
      </x:c>
      <x:c r="I59" s="245" t="n">
        <x:v>0</x:v>
      </x:c>
      <x:c r="J59" s="158" t="str"/>
      <x:c r="K59" s="158" t="str"/>
      <x:c r="L59" s="194" t="n">
        <x:f>IFERROR(MIN(I59/D59,1),0)</x:f>
        <x:v>0</x:v>
      </x:c>
    </x:row>
    <x:row r="60" ht="56" customHeight="1">
      <x:c r="A60" s="158" t="n">
        <x:v>8</x:v>
      </x:c>
      <x:c r="B60" s="158" t="str">
        <x:v>Đánh giá tuần</x:v>
      </x:c>
      <x:c r="C60" s="158" t="str">
        <x:v>Tự kiểm tra 10 câu, đánh giá toàn bộ checklist tuần, chốt tồn đọng và kế hoạch sửa.</x:v>
      </x:c>
      <x:c r="D60" s="245" t="n">
        <x:v>2</x:v>
      </x:c>
      <x:c r="E60" s="158" t="str">
        <x:f>"Trang 10 → lọc Tuần "&amp;A60</x:f>
        <x:v>Trang 10 → lọc Tuần 8</x:v>
      </x:c>
      <x:c r="F60" s="158" t="str">
        <x:v>Điểm tự kiểm tra và retrospective</x:v>
      </x:c>
      <x:c r="G60" s="158" t="str">
        <x:v>Có</x:v>
      </x:c>
      <x:c r="H60" s="158" t="str">
        <x:v>Chưa bắt đầu</x:v>
      </x:c>
      <x:c r="I60" s="245" t="n">
        <x:v>0</x:v>
      </x:c>
      <x:c r="J60" s="158" t="str"/>
      <x:c r="K60" s="158" t="str"/>
      <x:c r="L60" s="194" t="n">
        <x:f>IFERROR(MIN(I60/D60,1),0)</x:f>
        <x:v>0</x:v>
      </x:c>
    </x:row>
    <x:row r="61" ht="56" customHeight="1">
      <x:c r="A61" s="158" t="n">
        <x:v>9</x:v>
      </x:c>
      <x:c r="B61" s="158" t="str">
        <x:v>Học trọng tâm</x:v>
      </x:c>
      <x:c r="C61" s="158" t="str">
        <x:v>Đọc tài liệu R09, R10, R36; tập trung: Testing pyramid, unit/integration/contract test, test data builder, isolation và kiểm thử cơ sở dữ liệu thật. Ghi lại thuật ngữ, quy tắc và điểm chưa hiểu.</x:v>
      </x:c>
      <x:c r="D61" s="245" t="n">
        <x:v>2.5</x:v>
      </x:c>
      <x:c r="E61" s="158" t="str">
        <x:f>"Trang 10 → lọc Tuần "&amp;A61</x:f>
        <x:v>Trang 10 → lọc Tuần 9</x:v>
      </x:c>
      <x:c r="F61" s="158" t="str">
        <x:v>Ghi chú học tập và danh sách câu hỏi</x:v>
      </x:c>
      <x:c r="G61" s="158" t="str">
        <x:v>Có</x:v>
      </x:c>
      <x:c r="H61" s="158" t="str">
        <x:v>Chưa bắt đầu</x:v>
      </x:c>
      <x:c r="I61" s="245" t="n">
        <x:v>0</x:v>
      </x:c>
      <x:c r="J61" s="158" t="str"/>
      <x:c r="K61" s="158" t="str"/>
      <x:c r="L61" s="194" t="n">
        <x:f>IFERROR(MIN(I61/D61,1),0)</x:f>
        <x:v>0</x:v>
      </x:c>
    </x:row>
    <x:row r="62" ht="56" customHeight="1">
      <x:c r="A62" s="158" t="n">
        <x:v>9</x:v>
      </x:c>
      <x:c r="B62" s="158" t="str">
        <x:v>Ghi chú kiến thức</x:v>
      </x:c>
      <x:c r="C62" s="158" t="str">
        <x:v>Viết bản tóm tắt một trang về Chiến lược kiểm thử và Testcontainers; nêu ít nhất hai lựa chọn kỹ thuật và trade-off.</x:v>
      </x:c>
      <x:c r="D62" s="245" t="n">
        <x:v>1.5</x:v>
      </x:c>
      <x:c r="E62" s="158" t="str">
        <x:f>"Trang 10 → lọc Tuần "&amp;A62</x:f>
        <x:v>Trang 10 → lọc Tuần 9</x:v>
      </x:c>
      <x:c r="F62" s="158" t="str">
        <x:v>Tóm tắt một trang/ADR ngắn</x:v>
      </x:c>
      <x:c r="G62" s="158" t="str">
        <x:v>Có</x:v>
      </x:c>
      <x:c r="H62" s="158" t="str">
        <x:v>Chưa bắt đầu</x:v>
      </x:c>
      <x:c r="I62" s="245" t="n">
        <x:v>0</x:v>
      </x:c>
      <x:c r="J62" s="158" t="str"/>
      <x:c r="K62" s="158" t="str"/>
      <x:c r="L62" s="194" t="n">
        <x:f>IFERROR(MIN(I62/D62,1),0)</x:f>
        <x:v>0</x:v>
      </x:c>
    </x:row>
    <x:row r="63" ht="56" customHeight="1">
      <x:c r="A63" s="158" t="n">
        <x:v>9</x:v>
      </x:c>
      <x:c r="B63" s="158" t="str">
        <x:v>Xây dựng</x:v>
      </x:c>
      <x:c r="C63" s="158" t="str">
        <x:v>Thực hiện mục tiêu: Thiết lập bộ kiểm thử tự động cho API, nghiệp vụ và PostgreSQL. Chia commit nhỏ, thông điệp commit rõ ràng.</x:v>
      </x:c>
      <x:c r="D63" s="245" t="n">
        <x:v>4</x:v>
      </x:c>
      <x:c r="E63" s="158" t="str">
        <x:f>"Trang 10 → lọc Tuần "&amp;A63</x:f>
        <x:v>Trang 10 → lọc Tuần 9</x:v>
      </x:c>
      <x:c r="F63" s="158" t="str">
        <x:v>Mã nguồn hoặc cấu hình chạy được</x:v>
      </x:c>
      <x:c r="G63" s="158" t="str">
        <x:v>Có</x:v>
      </x:c>
      <x:c r="H63" s="158" t="str">
        <x:v>Chưa bắt đầu</x:v>
      </x:c>
      <x:c r="I63" s="245" t="n">
        <x:v>0</x:v>
      </x:c>
      <x:c r="J63" s="158" t="str"/>
      <x:c r="K63" s="158" t="str"/>
      <x:c r="L63" s="194" t="n">
        <x:f>IFERROR(MIN(I63/D63,1),0)</x:f>
        <x:v>0</x:v>
      </x:c>
    </x:row>
    <x:row r="64" ht="56" customHeight="1">
      <x:c r="A64" s="158" t="n">
        <x:v>9</x:v>
      </x:c>
      <x:c r="B64" s="158" t="str">
        <x:v>Kiểm thử</x:v>
      </x:c>
      <x:c r="C64" s="158" t="str">
        <x:v>Viết kiểm thử cho ba tiêu chí: Unit test không khởi động toàn bộ Spring context; Integration test chạy với PostgreSQL thật trong container; Dữ liệu giữa các kiểm thử được cô lập.</x:v>
      </x:c>
      <x:c r="D64" s="245" t="n">
        <x:v>2</x:v>
      </x:c>
      <x:c r="E64" s="158" t="str">
        <x:f>"Trang 10 → lọc Tuần "&amp;A64</x:f>
        <x:v>Trang 10 → lọc Tuần 9</x:v>
      </x:c>
      <x:c r="F64" s="158" t="str">
        <x:v>Bộ kiểm thử và kết quả chạy</x:v>
      </x:c>
      <x:c r="G64" s="158" t="str">
        <x:v>Có</x:v>
      </x:c>
      <x:c r="H64" s="158" t="str">
        <x:v>Chưa bắt đầu</x:v>
      </x:c>
      <x:c r="I64" s="245" t="n">
        <x:v>0</x:v>
      </x:c>
      <x:c r="J64" s="158" t="str"/>
      <x:c r="K64" s="158" t="str"/>
      <x:c r="L64" s="194" t="n">
        <x:f>IFERROR(MIN(I64/D64,1),0)</x:f>
        <x:v>0</x:v>
      </x:c>
    </x:row>
    <x:row r="65" ht="56" customHeight="1">
      <x:c r="A65" s="158" t="n">
        <x:v>9</x:v>
      </x:c>
      <x:c r="B65" s="158" t="str">
        <x:v>Tài liệu hóa</x:v>
      </x:c>
      <x:c r="C65" s="158" t="str">
        <x:v>Cập nhật test suite; Testcontainers setup; báo cáo phạm vi kiểm thử; bổ sung sơ đồ hoặc bảng quyết định khi phù hợp.</x:v>
      </x:c>
      <x:c r="D65" s="245" t="n">
        <x:v>1.5</x:v>
      </x:c>
      <x:c r="E65" s="158" t="str">
        <x:f>"Trang 10 → lọc Tuần "&amp;A65</x:f>
        <x:v>Trang 10 → lọc Tuần 9</x:v>
      </x:c>
      <x:c r="F65" s="158" t="str">
        <x:v>Tài liệu/sơ đồ/báo cáo</x:v>
      </x:c>
      <x:c r="G65" s="158" t="str">
        <x:v>Có</x:v>
      </x:c>
      <x:c r="H65" s="158" t="str">
        <x:v>Chưa bắt đầu</x:v>
      </x:c>
      <x:c r="I65" s="245" t="n">
        <x:v>0</x:v>
      </x:c>
      <x:c r="J65" s="158" t="str"/>
      <x:c r="K65" s="158" t="str"/>
      <x:c r="L65" s="194" t="n">
        <x:f>IFERROR(MIN(I65/D65,1),0)</x:f>
        <x:v>0</x:v>
      </x:c>
    </x:row>
    <x:row r="66" ht="56" customHeight="1">
      <x:c r="A66" s="158" t="n">
        <x:v>9</x:v>
      </x:c>
      <x:c r="B66" s="158" t="str">
        <x:v>Tiếng Anh kỹ thuật</x:v>
      </x:c>
      <x:c r="C66" s="158" t="str">
        <x:v>Trình bày Chiến lược kiểm thử và Testcontainers bằng tiếng Anh 5–10 phút; ghi âm và tự ghi ba lỗi cần sửa.</x:v>
      </x:c>
      <x:c r="D66" s="245" t="n">
        <x:v>1.5</x:v>
      </x:c>
      <x:c r="E66" s="158" t="str">
        <x:f>"Trang 10 → lọc Tuần "&amp;A66</x:f>
        <x:v>Trang 10 → lọc Tuần 9</x:v>
      </x:c>
      <x:c r="F66" s="158" t="str">
        <x:v>Bản ghi âm và danh sách lỗi</x:v>
      </x:c>
      <x:c r="G66" s="158" t="str">
        <x:v>Có</x:v>
      </x:c>
      <x:c r="H66" s="158" t="str">
        <x:v>Chưa bắt đầu</x:v>
      </x:c>
      <x:c r="I66" s="245" t="n">
        <x:v>0</x:v>
      </x:c>
      <x:c r="J66" s="158" t="str"/>
      <x:c r="K66" s="158" t="str"/>
      <x:c r="L66" s="194" t="n">
        <x:f>IFERROR(MIN(I66/D66,1),0)</x:f>
        <x:v>0</x:v>
      </x:c>
    </x:row>
    <x:row r="67" ht="56" customHeight="1">
      <x:c r="A67" s="158" t="n">
        <x:v>9</x:v>
      </x:c>
      <x:c r="B67" s="158" t="str">
        <x:v>Đánh giá tuần</x:v>
      </x:c>
      <x:c r="C67" s="158" t="str">
        <x:v>Tự kiểm tra 10 câu, đánh giá toàn bộ checklist tuần, chốt tồn đọng và kế hoạch sửa.</x:v>
      </x:c>
      <x:c r="D67" s="245" t="n">
        <x:v>2</x:v>
      </x:c>
      <x:c r="E67" s="158" t="str">
        <x:f>"Trang 10 → lọc Tuần "&amp;A67</x:f>
        <x:v>Trang 10 → lọc Tuần 9</x:v>
      </x:c>
      <x:c r="F67" s="158" t="str">
        <x:v>Điểm tự kiểm tra và retrospective</x:v>
      </x:c>
      <x:c r="G67" s="158" t="str">
        <x:v>Có</x:v>
      </x:c>
      <x:c r="H67" s="158" t="str">
        <x:v>Chưa bắt đầu</x:v>
      </x:c>
      <x:c r="I67" s="245" t="n">
        <x:v>0</x:v>
      </x:c>
      <x:c r="J67" s="158" t="str"/>
      <x:c r="K67" s="158" t="str"/>
      <x:c r="L67" s="194" t="n">
        <x:f>IFERROR(MIN(I67/D67,1),0)</x:f>
        <x:v>0</x:v>
      </x:c>
    </x:row>
    <x:row r="68" ht="56" customHeight="1">
      <x:c r="A68" s="158" t="n">
        <x:v>10</x:v>
      </x:c>
      <x:c r="B68" s="158" t="str">
        <x:v>Học trọng tâm</x:v>
      </x:c>
      <x:c r="C68" s="158" t="str">
        <x:v>Đọc tài liệu R11, R12, R13; tập trung: Authentication, authorization, OAuth2 flows, JWT validation, RBAC, method security và threat modeling. Ghi lại thuật ngữ, quy tắc và điểm chưa hiểu.</x:v>
      </x:c>
      <x:c r="D68" s="245" t="n">
        <x:v>2.5</x:v>
      </x:c>
      <x:c r="E68" s="158" t="str">
        <x:f>"Trang 10 → lọc Tuần "&amp;A68</x:f>
        <x:v>Trang 10 → lọc Tuần 10</x:v>
      </x:c>
      <x:c r="F68" s="158" t="str">
        <x:v>Ghi chú học tập và danh sách câu hỏi</x:v>
      </x:c>
      <x:c r="G68" s="158" t="str">
        <x:v>Có</x:v>
      </x:c>
      <x:c r="H68" s="158" t="str">
        <x:v>Chưa bắt đầu</x:v>
      </x:c>
      <x:c r="I68" s="245" t="n">
        <x:v>0</x:v>
      </x:c>
      <x:c r="J68" s="158" t="str"/>
      <x:c r="K68" s="158" t="str"/>
      <x:c r="L68" s="194" t="n">
        <x:f>IFERROR(MIN(I68/D68,1),0)</x:f>
        <x:v>0</x:v>
      </x:c>
    </x:row>
    <x:row r="69" ht="56" customHeight="1">
      <x:c r="A69" s="158" t="n">
        <x:v>10</x:v>
      </x:c>
      <x:c r="B69" s="158" t="str">
        <x:v>Ghi chú kiến thức</x:v>
      </x:c>
      <x:c r="C69" s="158" t="str">
        <x:v>Viết bản tóm tắt một trang về Spring Security, OAuth2 và JWT; nêu ít nhất hai lựa chọn kỹ thuật và trade-off.</x:v>
      </x:c>
      <x:c r="D69" s="245" t="n">
        <x:v>1.5</x:v>
      </x:c>
      <x:c r="E69" s="158" t="str">
        <x:f>"Trang 10 → lọc Tuần "&amp;A69</x:f>
        <x:v>Trang 10 → lọc Tuần 10</x:v>
      </x:c>
      <x:c r="F69" s="158" t="str">
        <x:v>Tóm tắt một trang/ADR ngắn</x:v>
      </x:c>
      <x:c r="G69" s="158" t="str">
        <x:v>Có</x:v>
      </x:c>
      <x:c r="H69" s="158" t="str">
        <x:v>Chưa bắt đầu</x:v>
      </x:c>
      <x:c r="I69" s="245" t="n">
        <x:v>0</x:v>
      </x:c>
      <x:c r="J69" s="158" t="str"/>
      <x:c r="K69" s="158" t="str"/>
      <x:c r="L69" s="194" t="n">
        <x:f>IFERROR(MIN(I69/D69,1),0)</x:f>
        <x:v>0</x:v>
      </x:c>
    </x:row>
    <x:row r="70" ht="56" customHeight="1">
      <x:c r="A70" s="158" t="n">
        <x:v>10</x:v>
      </x:c>
      <x:c r="B70" s="158" t="str">
        <x:v>Xây dựng</x:v>
      </x:c>
      <x:c r="C70" s="158" t="str">
        <x:v>Thực hiện mục tiêu: Bảo vệ API bằng OAuth2 Resource Server và quyền theo vai trò. Chia commit nhỏ, thông điệp commit rõ ràng.</x:v>
      </x:c>
      <x:c r="D70" s="245" t="n">
        <x:v>4</x:v>
      </x:c>
      <x:c r="E70" s="158" t="str">
        <x:f>"Trang 10 → lọc Tuần "&amp;A70</x:f>
        <x:v>Trang 10 → lọc Tuần 10</x:v>
      </x:c>
      <x:c r="F70" s="158" t="str">
        <x:v>Mã nguồn hoặc cấu hình chạy được</x:v>
      </x:c>
      <x:c r="G70" s="158" t="str">
        <x:v>Có</x:v>
      </x:c>
      <x:c r="H70" s="158" t="str">
        <x:v>Chưa bắt đầu</x:v>
      </x:c>
      <x:c r="I70" s="245" t="n">
        <x:v>0</x:v>
      </x:c>
      <x:c r="J70" s="158" t="str"/>
      <x:c r="K70" s="158" t="str"/>
      <x:c r="L70" s="194" t="n">
        <x:f>IFERROR(MIN(I70/D70,1),0)</x:f>
        <x:v>0</x:v>
      </x:c>
    </x:row>
    <x:row r="71" ht="56" customHeight="1">
      <x:c r="A71" s="158" t="n">
        <x:v>10</x:v>
      </x:c>
      <x:c r="B71" s="158" t="str">
        <x:v>Kiểm thử</x:v>
      </x:c>
      <x:c r="C71" s="158" t="str">
        <x:v>Viết kiểm thử cho ba tiêu chí: Token sai chữ ký hoặc hết hạn bị từ chối; USER và ADMIN chỉ truy cập đúng tài nguyên; Không tin cậy role gửi trực tiếp từ client.</x:v>
      </x:c>
      <x:c r="D71" s="245" t="n">
        <x:v>2</x:v>
      </x:c>
      <x:c r="E71" s="158" t="str">
        <x:f>"Trang 10 → lọc Tuần "&amp;A71</x:f>
        <x:v>Trang 10 → lọc Tuần 10</x:v>
      </x:c>
      <x:c r="F71" s="158" t="str">
        <x:v>Bộ kiểm thử và kết quả chạy</x:v>
      </x:c>
      <x:c r="G71" s="158" t="str">
        <x:v>Có</x:v>
      </x:c>
      <x:c r="H71" s="158" t="str">
        <x:v>Chưa bắt đầu</x:v>
      </x:c>
      <x:c r="I71" s="245" t="n">
        <x:v>0</x:v>
      </x:c>
      <x:c r="J71" s="158" t="str"/>
      <x:c r="K71" s="158" t="str"/>
      <x:c r="L71" s="194" t="n">
        <x:f>IFERROR(MIN(I71/D71,1),0)</x:f>
        <x:v>0</x:v>
      </x:c>
    </x:row>
    <x:row r="72" ht="56" customHeight="1">
      <x:c r="A72" s="158" t="n">
        <x:v>10</x:v>
      </x:c>
      <x:c r="B72" s="158" t="str">
        <x:v>Tài liệu hóa</x:v>
      </x:c>
      <x:c r="C72" s="158" t="str">
        <x:v>Cập nhật security configuration; threat model; bộ kiểm thử phân quyền; bổ sung sơ đồ hoặc bảng quyết định khi phù hợp.</x:v>
      </x:c>
      <x:c r="D72" s="245" t="n">
        <x:v>1.5</x:v>
      </x:c>
      <x:c r="E72" s="158" t="str">
        <x:f>"Trang 10 → lọc Tuần "&amp;A72</x:f>
        <x:v>Trang 10 → lọc Tuần 10</x:v>
      </x:c>
      <x:c r="F72" s="158" t="str">
        <x:v>Tài liệu/sơ đồ/báo cáo</x:v>
      </x:c>
      <x:c r="G72" s="158" t="str">
        <x:v>Có</x:v>
      </x:c>
      <x:c r="H72" s="158" t="str">
        <x:v>Chưa bắt đầu</x:v>
      </x:c>
      <x:c r="I72" s="245" t="n">
        <x:v>0</x:v>
      </x:c>
      <x:c r="J72" s="158" t="str"/>
      <x:c r="K72" s="158" t="str"/>
      <x:c r="L72" s="194" t="n">
        <x:f>IFERROR(MIN(I72/D72,1),0)</x:f>
        <x:v>0</x:v>
      </x:c>
    </x:row>
    <x:row r="73" ht="56" customHeight="1">
      <x:c r="A73" s="158" t="n">
        <x:v>10</x:v>
      </x:c>
      <x:c r="B73" s="158" t="str">
        <x:v>Tiếng Anh kỹ thuật</x:v>
      </x:c>
      <x:c r="C73" s="158" t="str">
        <x:v>Trình bày Spring Security, OAuth2 và JWT bằng tiếng Anh 5–10 phút; ghi âm và tự ghi ba lỗi cần sửa.</x:v>
      </x:c>
      <x:c r="D73" s="245" t="n">
        <x:v>1.5</x:v>
      </x:c>
      <x:c r="E73" s="158" t="str">
        <x:f>"Trang 10 → lọc Tuần "&amp;A73</x:f>
        <x:v>Trang 10 → lọc Tuần 10</x:v>
      </x:c>
      <x:c r="F73" s="158" t="str">
        <x:v>Bản ghi âm và danh sách lỗi</x:v>
      </x:c>
      <x:c r="G73" s="158" t="str">
        <x:v>Có</x:v>
      </x:c>
      <x:c r="H73" s="158" t="str">
        <x:v>Chưa bắt đầu</x:v>
      </x:c>
      <x:c r="I73" s="245" t="n">
        <x:v>0</x:v>
      </x:c>
      <x:c r="J73" s="158" t="str"/>
      <x:c r="K73" s="158" t="str"/>
      <x:c r="L73" s="194" t="n">
        <x:f>IFERROR(MIN(I73/D73,1),0)</x:f>
        <x:v>0</x:v>
      </x:c>
    </x:row>
    <x:row r="74" ht="56" customHeight="1">
      <x:c r="A74" s="158" t="n">
        <x:v>10</x:v>
      </x:c>
      <x:c r="B74" s="158" t="str">
        <x:v>Đánh giá tuần</x:v>
      </x:c>
      <x:c r="C74" s="158" t="str">
        <x:v>Tự kiểm tra 10 câu, đánh giá toàn bộ checklist tuần, chốt tồn đọng và kế hoạch sửa.</x:v>
      </x:c>
      <x:c r="D74" s="245" t="n">
        <x:v>2</x:v>
      </x:c>
      <x:c r="E74" s="158" t="str">
        <x:f>"Trang 10 → lọc Tuần "&amp;A74</x:f>
        <x:v>Trang 10 → lọc Tuần 10</x:v>
      </x:c>
      <x:c r="F74" s="158" t="str">
        <x:v>Điểm tự kiểm tra và retrospective</x:v>
      </x:c>
      <x:c r="G74" s="158" t="str">
        <x:v>Có</x:v>
      </x:c>
      <x:c r="H74" s="158" t="str">
        <x:v>Chưa bắt đầu</x:v>
      </x:c>
      <x:c r="I74" s="245" t="n">
        <x:v>0</x:v>
      </x:c>
      <x:c r="J74" s="158" t="str"/>
      <x:c r="K74" s="158" t="str"/>
      <x:c r="L74" s="194" t="n">
        <x:f>IFERROR(MIN(I74/D74,1),0)</x:f>
        <x:v>0</x:v>
      </x:c>
    </x:row>
    <x:row r="75" ht="56" customHeight="1">
      <x:c r="A75" s="158" t="n">
        <x:v>11</x:v>
      </x:c>
      <x:c r="B75" s="158" t="str">
        <x:v>Học trọng tâm</x:v>
      </x:c>
      <x:c r="C75" s="158" t="str">
        <x:v>Đọc tài liệu R14, R15, R16; tập trung: Image layers, multi-stage build, healthcheck, Compose network/volume, secret handling và CI pipeline. Ghi lại thuật ngữ, quy tắc và điểm chưa hiểu.</x:v>
      </x:c>
      <x:c r="D75" s="245" t="n">
        <x:v>2.5</x:v>
      </x:c>
      <x:c r="E75" s="158" t="str">
        <x:f>"Trang 10 → lọc Tuần "&amp;A75</x:f>
        <x:v>Trang 10 → lọc Tuần 11</x:v>
      </x:c>
      <x:c r="F75" s="158" t="str">
        <x:v>Ghi chú học tập và danh sách câu hỏi</x:v>
      </x:c>
      <x:c r="G75" s="158" t="str">
        <x:v>Có</x:v>
      </x:c>
      <x:c r="H75" s="158" t="str">
        <x:v>Chưa bắt đầu</x:v>
      </x:c>
      <x:c r="I75" s="245" t="n">
        <x:v>0</x:v>
      </x:c>
      <x:c r="J75" s="158" t="str"/>
      <x:c r="K75" s="158" t="str"/>
      <x:c r="L75" s="194" t="n">
        <x:f>IFERROR(MIN(I75/D75,1),0)</x:f>
        <x:v>0</x:v>
      </x:c>
    </x:row>
    <x:row r="76" ht="56" customHeight="1">
      <x:c r="A76" s="158" t="n">
        <x:v>11</x:v>
      </x:c>
      <x:c r="B76" s="158" t="str">
        <x:v>Ghi chú kiến thức</x:v>
      </x:c>
      <x:c r="C76" s="158" t="str">
        <x:v>Viết bản tóm tắt một trang về Docker, Compose và tích hợp liên tục; nêu ít nhất hai lựa chọn kỹ thuật và trade-off.</x:v>
      </x:c>
      <x:c r="D76" s="245" t="n">
        <x:v>1.5</x:v>
      </x:c>
      <x:c r="E76" s="158" t="str">
        <x:f>"Trang 10 → lọc Tuần "&amp;A76</x:f>
        <x:v>Trang 10 → lọc Tuần 11</x:v>
      </x:c>
      <x:c r="F76" s="158" t="str">
        <x:v>Tóm tắt một trang/ADR ngắn</x:v>
      </x:c>
      <x:c r="G76" s="158" t="str">
        <x:v>Có</x:v>
      </x:c>
      <x:c r="H76" s="158" t="str">
        <x:v>Chưa bắt đầu</x:v>
      </x:c>
      <x:c r="I76" s="245" t="n">
        <x:v>0</x:v>
      </x:c>
      <x:c r="J76" s="158" t="str"/>
      <x:c r="K76" s="158" t="str"/>
      <x:c r="L76" s="194" t="n">
        <x:f>IFERROR(MIN(I76/D76,1),0)</x:f>
        <x:v>0</x:v>
      </x:c>
    </x:row>
    <x:row r="77" ht="56" customHeight="1">
      <x:c r="A77" s="158" t="n">
        <x:v>11</x:v>
      </x:c>
      <x:c r="B77" s="158" t="str">
        <x:v>Xây dựng</x:v>
      </x:c>
      <x:c r="C77" s="158" t="str">
        <x:v>Thực hiện mục tiêu: Chạy ứng dụng, PostgreSQL và dịch vụ phụ trợ bằng một lệnh; kiểm thử tự động khi đẩy mã. Chia commit nhỏ, thông điệp commit rõ ràng.</x:v>
      </x:c>
      <x:c r="D77" s="245" t="n">
        <x:v>4</x:v>
      </x:c>
      <x:c r="E77" s="158" t="str">
        <x:f>"Trang 10 → lọc Tuần "&amp;A77</x:f>
        <x:v>Trang 10 → lọc Tuần 11</x:v>
      </x:c>
      <x:c r="F77" s="158" t="str">
        <x:v>Mã nguồn hoặc cấu hình chạy được</x:v>
      </x:c>
      <x:c r="G77" s="158" t="str">
        <x:v>Có</x:v>
      </x:c>
      <x:c r="H77" s="158" t="str">
        <x:v>Chưa bắt đầu</x:v>
      </x:c>
      <x:c r="I77" s="245" t="n">
        <x:v>0</x:v>
      </x:c>
      <x:c r="J77" s="158" t="str"/>
      <x:c r="K77" s="158" t="str"/>
      <x:c r="L77" s="194" t="n">
        <x:f>IFERROR(MIN(I77/D77,1),0)</x:f>
        <x:v>0</x:v>
      </x:c>
    </x:row>
    <x:row r="78" ht="56" customHeight="1">
      <x:c r="A78" s="158" t="n">
        <x:v>11</x:v>
      </x:c>
      <x:c r="B78" s="158" t="str">
        <x:v>Kiểm thử</x:v>
      </x:c>
      <x:c r="C78" s="158" t="str">
        <x:v>Viết kiểm thử cho ba tiêu chí: Docker image dùng multi-stage build; Container chạy bằng người dùng không phải root; Compose có healthcheck và persistent volume.</x:v>
      </x:c>
      <x:c r="D78" s="245" t="n">
        <x:v>2</x:v>
      </x:c>
      <x:c r="E78" s="158" t="str">
        <x:f>"Trang 10 → lọc Tuần "&amp;A78</x:f>
        <x:v>Trang 10 → lọc Tuần 11</x:v>
      </x:c>
      <x:c r="F78" s="158" t="str">
        <x:v>Bộ kiểm thử và kết quả chạy</x:v>
      </x:c>
      <x:c r="G78" s="158" t="str">
        <x:v>Có</x:v>
      </x:c>
      <x:c r="H78" s="158" t="str">
        <x:v>Chưa bắt đầu</x:v>
      </x:c>
      <x:c r="I78" s="245" t="n">
        <x:v>0</x:v>
      </x:c>
      <x:c r="J78" s="158" t="str"/>
      <x:c r="K78" s="158" t="str"/>
      <x:c r="L78" s="194" t="n">
        <x:f>IFERROR(MIN(I78/D78,1),0)</x:f>
        <x:v>0</x:v>
      </x:c>
    </x:row>
    <x:row r="79" ht="56" customHeight="1">
      <x:c r="A79" s="158" t="n">
        <x:v>11</x:v>
      </x:c>
      <x:c r="B79" s="158" t="str">
        <x:v>Tài liệu hóa</x:v>
      </x:c>
      <x:c r="C79" s="158" t="str">
        <x:v>Cập nhật Dockerfile; compose.yaml; GitHub Actions workflow; runbook; bổ sung sơ đồ hoặc bảng quyết định khi phù hợp.</x:v>
      </x:c>
      <x:c r="D79" s="245" t="n">
        <x:v>1.5</x:v>
      </x:c>
      <x:c r="E79" s="158" t="str">
        <x:f>"Trang 10 → lọc Tuần "&amp;A79</x:f>
        <x:v>Trang 10 → lọc Tuần 11</x:v>
      </x:c>
      <x:c r="F79" s="158" t="str">
        <x:v>Tài liệu/sơ đồ/báo cáo</x:v>
      </x:c>
      <x:c r="G79" s="158" t="str">
        <x:v>Có</x:v>
      </x:c>
      <x:c r="H79" s="158" t="str">
        <x:v>Chưa bắt đầu</x:v>
      </x:c>
      <x:c r="I79" s="245" t="n">
        <x:v>0</x:v>
      </x:c>
      <x:c r="J79" s="158" t="str"/>
      <x:c r="K79" s="158" t="str"/>
      <x:c r="L79" s="194" t="n">
        <x:f>IFERROR(MIN(I79/D79,1),0)</x:f>
        <x:v>0</x:v>
      </x:c>
    </x:row>
    <x:row r="80" ht="56" customHeight="1">
      <x:c r="A80" s="158" t="n">
        <x:v>11</x:v>
      </x:c>
      <x:c r="B80" s="158" t="str">
        <x:v>Tiếng Anh kỹ thuật</x:v>
      </x:c>
      <x:c r="C80" s="158" t="str">
        <x:v>Trình bày Docker, Compose và tích hợp liên tục bằng tiếng Anh 5–10 phút; ghi âm và tự ghi ba lỗi cần sửa.</x:v>
      </x:c>
      <x:c r="D80" s="245" t="n">
        <x:v>1.5</x:v>
      </x:c>
      <x:c r="E80" s="158" t="str">
        <x:f>"Trang 10 → lọc Tuần "&amp;A80</x:f>
        <x:v>Trang 10 → lọc Tuần 11</x:v>
      </x:c>
      <x:c r="F80" s="158" t="str">
        <x:v>Bản ghi âm và danh sách lỗi</x:v>
      </x:c>
      <x:c r="G80" s="158" t="str">
        <x:v>Có</x:v>
      </x:c>
      <x:c r="H80" s="158" t="str">
        <x:v>Chưa bắt đầu</x:v>
      </x:c>
      <x:c r="I80" s="245" t="n">
        <x:v>0</x:v>
      </x:c>
      <x:c r="J80" s="158" t="str"/>
      <x:c r="K80" s="158" t="str"/>
      <x:c r="L80" s="194" t="n">
        <x:f>IFERROR(MIN(I80/D80,1),0)</x:f>
        <x:v>0</x:v>
      </x:c>
    </x:row>
    <x:row r="81" ht="56" customHeight="1">
      <x:c r="A81" s="158" t="n">
        <x:v>11</x:v>
      </x:c>
      <x:c r="B81" s="158" t="str">
        <x:v>Đánh giá tuần</x:v>
      </x:c>
      <x:c r="C81" s="158" t="str">
        <x:v>Tự kiểm tra 10 câu, đánh giá toàn bộ checklist tuần, chốt tồn đọng và kế hoạch sửa.</x:v>
      </x:c>
      <x:c r="D81" s="245" t="n">
        <x:v>2</x:v>
      </x:c>
      <x:c r="E81" s="158" t="str">
        <x:f>"Trang 10 → lọc Tuần "&amp;A81</x:f>
        <x:v>Trang 10 → lọc Tuần 11</x:v>
      </x:c>
      <x:c r="F81" s="158" t="str">
        <x:v>Điểm tự kiểm tra và retrospective</x:v>
      </x:c>
      <x:c r="G81" s="158" t="str">
        <x:v>Có</x:v>
      </x:c>
      <x:c r="H81" s="158" t="str">
        <x:v>Chưa bắt đầu</x:v>
      </x:c>
      <x:c r="I81" s="245" t="n">
        <x:v>0</x:v>
      </x:c>
      <x:c r="J81" s="158" t="str"/>
      <x:c r="K81" s="158" t="str"/>
      <x:c r="L81" s="194" t="n">
        <x:f>IFERROR(MIN(I81/D81,1),0)</x:f>
        <x:v>0</x:v>
      </x:c>
    </x:row>
    <x:row r="82" ht="56" customHeight="1">
      <x:c r="A82" s="158" t="n">
        <x:v>12</x:v>
      </x:c>
      <x:c r="B82" s="158" t="str">
        <x:v>Học trọng tâm</x:v>
      </x:c>
      <x:c r="C82" s="158" t="str">
        <x:v>Đọc tài liệu R17, R18; tập trung: Data types, cache-aside, TTL, cache stampede, distributed lock và sliding-window rate limit. Ghi lại thuật ngữ, quy tắc và điểm chưa hiểu.</x:v>
      </x:c>
      <x:c r="D82" s="245" t="n">
        <x:v>2.5</x:v>
      </x:c>
      <x:c r="E82" s="158" t="str">
        <x:f>"Trang 10 → lọc Tuần "&amp;A82</x:f>
        <x:v>Trang 10 → lọc Tuần 12</x:v>
      </x:c>
      <x:c r="F82" s="158" t="str">
        <x:v>Ghi chú học tập và danh sách câu hỏi</x:v>
      </x:c>
      <x:c r="G82" s="158" t="str">
        <x:v>Có</x:v>
      </x:c>
      <x:c r="H82" s="158" t="str">
        <x:v>Chưa bắt đầu</x:v>
      </x:c>
      <x:c r="I82" s="245" t="n">
        <x:v>0</x:v>
      </x:c>
      <x:c r="J82" s="158" t="str"/>
      <x:c r="K82" s="158" t="str"/>
      <x:c r="L82" s="194" t="n">
        <x:f>IFERROR(MIN(I82/D82,1),0)</x:f>
        <x:v>0</x:v>
      </x:c>
    </x:row>
    <x:row r="83" ht="56" customHeight="1">
      <x:c r="A83" s="158" t="n">
        <x:v>12</x:v>
      </x:c>
      <x:c r="B83" s="158" t="str">
        <x:v>Ghi chú kiến thức</x:v>
      </x:c>
      <x:c r="C83" s="158" t="str">
        <x:v>Viết bản tóm tắt một trang về Redis: cache, rate limit và khóa; nêu ít nhất hai lựa chọn kỹ thuật và trade-off.</x:v>
      </x:c>
      <x:c r="D83" s="245" t="n">
        <x:v>1.5</x:v>
      </x:c>
      <x:c r="E83" s="158" t="str">
        <x:f>"Trang 10 → lọc Tuần "&amp;A83</x:f>
        <x:v>Trang 10 → lọc Tuần 12</x:v>
      </x:c>
      <x:c r="F83" s="158" t="str">
        <x:v>Tóm tắt một trang/ADR ngắn</x:v>
      </x:c>
      <x:c r="G83" s="158" t="str">
        <x:v>Có</x:v>
      </x:c>
      <x:c r="H83" s="158" t="str">
        <x:v>Chưa bắt đầu</x:v>
      </x:c>
      <x:c r="I83" s="245" t="n">
        <x:v>0</x:v>
      </x:c>
      <x:c r="J83" s="158" t="str"/>
      <x:c r="K83" s="158" t="str"/>
      <x:c r="L83" s="194" t="n">
        <x:f>IFERROR(MIN(I83/D83,1),0)</x:f>
        <x:v>0</x:v>
      </x:c>
    </x:row>
    <x:row r="84" ht="56" customHeight="1">
      <x:c r="A84" s="158" t="n">
        <x:v>12</x:v>
      </x:c>
      <x:c r="B84" s="158" t="str">
        <x:v>Xây dựng</x:v>
      </x:c>
      <x:c r="C84" s="158" t="str">
        <x:v>Thực hiện mục tiêu: Thêm cache số dư đọc, giới hạn API và chứng minh chiến lược vô hiệu hóa cache. Chia commit nhỏ, thông điệp commit rõ ràng.</x:v>
      </x:c>
      <x:c r="D84" s="245" t="n">
        <x:v>4</x:v>
      </x:c>
      <x:c r="E84" s="158" t="str">
        <x:f>"Trang 10 → lọc Tuần "&amp;A84</x:f>
        <x:v>Trang 10 → lọc Tuần 12</x:v>
      </x:c>
      <x:c r="F84" s="158" t="str">
        <x:v>Mã nguồn hoặc cấu hình chạy được</x:v>
      </x:c>
      <x:c r="G84" s="158" t="str">
        <x:v>Có</x:v>
      </x:c>
      <x:c r="H84" s="158" t="str">
        <x:v>Chưa bắt đầu</x:v>
      </x:c>
      <x:c r="I84" s="245" t="n">
        <x:v>0</x:v>
      </x:c>
      <x:c r="J84" s="158" t="str"/>
      <x:c r="K84" s="158" t="str"/>
      <x:c r="L84" s="194" t="n">
        <x:f>IFERROR(MIN(I84/D84,1),0)</x:f>
        <x:v>0</x:v>
      </x:c>
    </x:row>
    <x:row r="85" ht="56" customHeight="1">
      <x:c r="A85" s="158" t="n">
        <x:v>12</x:v>
      </x:c>
      <x:c r="B85" s="158" t="str">
        <x:v>Kiểm thử</x:v>
      </x:c>
      <x:c r="C85" s="158" t="str">
        <x:v>Viết kiểm thử cho ba tiêu chí: Cache có TTL và quy tắc đặt key rõ ràng; Dữ liệu được vô hiệu hóa sau thay đổi số dư; Cache lỗi không làm mất dữ liệu nguồn.</x:v>
      </x:c>
      <x:c r="D85" s="245" t="n">
        <x:v>2</x:v>
      </x:c>
      <x:c r="E85" s="158" t="str">
        <x:f>"Trang 10 → lọc Tuần "&amp;A85</x:f>
        <x:v>Trang 10 → lọc Tuần 12</x:v>
      </x:c>
      <x:c r="F85" s="158" t="str">
        <x:v>Bộ kiểm thử và kết quả chạy</x:v>
      </x:c>
      <x:c r="G85" s="158" t="str">
        <x:v>Có</x:v>
      </x:c>
      <x:c r="H85" s="158" t="str">
        <x:v>Chưa bắt đầu</x:v>
      </x:c>
      <x:c r="I85" s="245" t="n">
        <x:v>0</x:v>
      </x:c>
      <x:c r="J85" s="158" t="str"/>
      <x:c r="K85" s="158" t="str"/>
      <x:c r="L85" s="194" t="n">
        <x:f>IFERROR(MIN(I85/D85,1),0)</x:f>
        <x:v>0</x:v>
      </x:c>
    </x:row>
    <x:row r="86" ht="56" customHeight="1">
      <x:c r="A86" s="158" t="n">
        <x:v>12</x:v>
      </x:c>
      <x:c r="B86" s="158" t="str">
        <x:v>Tài liệu hóa</x:v>
      </x:c>
      <x:c r="C86" s="158" t="str">
        <x:v>Cập nhật redis-lab; báo cáo hit rate; kiểm thử cache invalidation; bổ sung sơ đồ hoặc bảng quyết định khi phù hợp.</x:v>
      </x:c>
      <x:c r="D86" s="245" t="n">
        <x:v>1.5</x:v>
      </x:c>
      <x:c r="E86" s="158" t="str">
        <x:f>"Trang 10 → lọc Tuần "&amp;A86</x:f>
        <x:v>Trang 10 → lọc Tuần 12</x:v>
      </x:c>
      <x:c r="F86" s="158" t="str">
        <x:v>Tài liệu/sơ đồ/báo cáo</x:v>
      </x:c>
      <x:c r="G86" s="158" t="str">
        <x:v>Có</x:v>
      </x:c>
      <x:c r="H86" s="158" t="str">
        <x:v>Chưa bắt đầu</x:v>
      </x:c>
      <x:c r="I86" s="245" t="n">
        <x:v>0</x:v>
      </x:c>
      <x:c r="J86" s="158" t="str"/>
      <x:c r="K86" s="158" t="str"/>
      <x:c r="L86" s="194" t="n">
        <x:f>IFERROR(MIN(I86/D86,1),0)</x:f>
        <x:v>0</x:v>
      </x:c>
    </x:row>
    <x:row r="87" ht="56" customHeight="1">
      <x:c r="A87" s="158" t="n">
        <x:v>12</x:v>
      </x:c>
      <x:c r="B87" s="158" t="str">
        <x:v>Tiếng Anh kỹ thuật</x:v>
      </x:c>
      <x:c r="C87" s="158" t="str">
        <x:v>Trình bày Redis: cache, rate limit và khóa bằng tiếng Anh 5–10 phút; ghi âm và tự ghi ba lỗi cần sửa.</x:v>
      </x:c>
      <x:c r="D87" s="245" t="n">
        <x:v>1.5</x:v>
      </x:c>
      <x:c r="E87" s="158" t="str">
        <x:f>"Trang 10 → lọc Tuần "&amp;A87</x:f>
        <x:v>Trang 10 → lọc Tuần 12</x:v>
      </x:c>
      <x:c r="F87" s="158" t="str">
        <x:v>Bản ghi âm và danh sách lỗi</x:v>
      </x:c>
      <x:c r="G87" s="158" t="str">
        <x:v>Có</x:v>
      </x:c>
      <x:c r="H87" s="158" t="str">
        <x:v>Chưa bắt đầu</x:v>
      </x:c>
      <x:c r="I87" s="245" t="n">
        <x:v>0</x:v>
      </x:c>
      <x:c r="J87" s="158" t="str"/>
      <x:c r="K87" s="158" t="str"/>
      <x:c r="L87" s="194" t="n">
        <x:f>IFERROR(MIN(I87/D87,1),0)</x:f>
        <x:v>0</x:v>
      </x:c>
    </x:row>
    <x:row r="88" ht="56" customHeight="1">
      <x:c r="A88" s="158" t="n">
        <x:v>12</x:v>
      </x:c>
      <x:c r="B88" s="158" t="str">
        <x:v>Đánh giá tuần</x:v>
      </x:c>
      <x:c r="C88" s="158" t="str">
        <x:v>Tự kiểm tra 10 câu, đánh giá toàn bộ checklist tuần, chốt tồn đọng và kế hoạch sửa.</x:v>
      </x:c>
      <x:c r="D88" s="245" t="n">
        <x:v>2</x:v>
      </x:c>
      <x:c r="E88" s="158" t="str">
        <x:f>"Trang 10 → lọc Tuần "&amp;A88</x:f>
        <x:v>Trang 10 → lọc Tuần 12</x:v>
      </x:c>
      <x:c r="F88" s="158" t="str">
        <x:v>Điểm tự kiểm tra và retrospective</x:v>
      </x:c>
      <x:c r="G88" s="158" t="str">
        <x:v>Có</x:v>
      </x:c>
      <x:c r="H88" s="158" t="str">
        <x:v>Chưa bắt đầu</x:v>
      </x:c>
      <x:c r="I88" s="245" t="n">
        <x:v>0</x:v>
      </x:c>
      <x:c r="J88" s="158" t="str"/>
      <x:c r="K88" s="158" t="str"/>
      <x:c r="L88" s="194" t="n">
        <x:f>IFERROR(MIN(I88/D88,1),0)</x:f>
        <x:v>0</x:v>
      </x:c>
    </x:row>
    <x:row r="89" ht="56" customHeight="1">
      <x:c r="A89" s="158" t="n">
        <x:v>13</x:v>
      </x:c>
      <x:c r="B89" s="158" t="str">
        <x:v>Học trọng tâm</x:v>
      </x:c>
      <x:c r="C89" s="158" t="str">
        <x:v>Đọc tài liệu R19, R20, R10; tập trung: Broker, topic, partition, offset, producer, consumer group, key và ordering guarantee. Ghi lại thuật ngữ, quy tắc và điểm chưa hiểu.</x:v>
      </x:c>
      <x:c r="D89" s="245" t="n">
        <x:v>2.5</x:v>
      </x:c>
      <x:c r="E89" s="158" t="str">
        <x:f>"Trang 10 → lọc Tuần "&amp;A89</x:f>
        <x:v>Trang 10 → lọc Tuần 13</x:v>
      </x:c>
      <x:c r="F89" s="158" t="str">
        <x:v>Ghi chú học tập và danh sách câu hỏi</x:v>
      </x:c>
      <x:c r="G89" s="158" t="str">
        <x:v>Có</x:v>
      </x:c>
      <x:c r="H89" s="158" t="str">
        <x:v>Chưa bắt đầu</x:v>
      </x:c>
      <x:c r="I89" s="245" t="n">
        <x:v>0</x:v>
      </x:c>
      <x:c r="J89" s="158" t="str"/>
      <x:c r="K89" s="158" t="str"/>
      <x:c r="L89" s="194" t="n">
        <x:f>IFERROR(MIN(I89/D89,1),0)</x:f>
        <x:v>0</x:v>
      </x:c>
    </x:row>
    <x:row r="90" ht="56" customHeight="1">
      <x:c r="A90" s="158" t="n">
        <x:v>13</x:v>
      </x:c>
      <x:c r="B90" s="158" t="str">
        <x:v>Ghi chú kiến thức</x:v>
      </x:c>
      <x:c r="C90" s="158" t="str">
        <x:v>Viết bản tóm tắt một trang về Kafka căn bản; nêu ít nhất hai lựa chọn kỹ thuật và trade-off.</x:v>
      </x:c>
      <x:c r="D90" s="245" t="n">
        <x:v>1.5</x:v>
      </x:c>
      <x:c r="E90" s="158" t="str">
        <x:f>"Trang 10 → lọc Tuần "&amp;A90</x:f>
        <x:v>Trang 10 → lọc Tuần 13</x:v>
      </x:c>
      <x:c r="F90" s="158" t="str">
        <x:v>Tóm tắt một trang/ADR ngắn</x:v>
      </x:c>
      <x:c r="G90" s="158" t="str">
        <x:v>Có</x:v>
      </x:c>
      <x:c r="H90" s="158" t="str">
        <x:v>Chưa bắt đầu</x:v>
      </x:c>
      <x:c r="I90" s="245" t="n">
        <x:v>0</x:v>
      </x:c>
      <x:c r="J90" s="158" t="str"/>
      <x:c r="K90" s="158" t="str"/>
      <x:c r="L90" s="194" t="n">
        <x:f>IFERROR(MIN(I90/D90,1),0)</x:f>
        <x:v>0</x:v>
      </x:c>
    </x:row>
    <x:row r="91" ht="56" customHeight="1">
      <x:c r="A91" s="158" t="n">
        <x:v>13</x:v>
      </x:c>
      <x:c r="B91" s="158" t="str">
        <x:v>Xây dựng</x:v>
      </x:c>
      <x:c r="C91" s="158" t="str">
        <x:v>Thực hiện mục tiêu: Xây luồng TransactionCreated với ba partition và nhiều consumer. Chia commit nhỏ, thông điệp commit rõ ràng.</x:v>
      </x:c>
      <x:c r="D91" s="245" t="n">
        <x:v>4</x:v>
      </x:c>
      <x:c r="E91" s="158" t="str">
        <x:f>"Trang 10 → lọc Tuần "&amp;A91</x:f>
        <x:v>Trang 10 → lọc Tuần 13</x:v>
      </x:c>
      <x:c r="F91" s="158" t="str">
        <x:v>Mã nguồn hoặc cấu hình chạy được</x:v>
      </x:c>
      <x:c r="G91" s="158" t="str">
        <x:v>Có</x:v>
      </x:c>
      <x:c r="H91" s="158" t="str">
        <x:v>Chưa bắt đầu</x:v>
      </x:c>
      <x:c r="I91" s="245" t="n">
        <x:v>0</x:v>
      </x:c>
      <x:c r="J91" s="158" t="str"/>
      <x:c r="K91" s="158" t="str"/>
      <x:c r="L91" s="194" t="n">
        <x:f>IFERROR(MIN(I91/D91,1),0)</x:f>
        <x:v>0</x:v>
      </x:c>
    </x:row>
    <x:row r="92" ht="56" customHeight="1">
      <x:c r="A92" s="158" t="n">
        <x:v>13</x:v>
      </x:c>
      <x:c r="B92" s="158" t="str">
        <x:v>Kiểm thử</x:v>
      </x:c>
      <x:c r="C92" s="158" t="str">
        <x:v>Viết kiểm thử cho ba tiêu chí: Thông điệp cùng accountId đi vào cùng partition; Giải thích được consumer group phân phối tải thế nào; Theo dõi được offset và consumer lag.</x:v>
      </x:c>
      <x:c r="D92" s="245" t="n">
        <x:v>2</x:v>
      </x:c>
      <x:c r="E92" s="158" t="str">
        <x:f>"Trang 10 → lọc Tuần "&amp;A92</x:f>
        <x:v>Trang 10 → lọc Tuần 13</x:v>
      </x:c>
      <x:c r="F92" s="158" t="str">
        <x:v>Bộ kiểm thử và kết quả chạy</x:v>
      </x:c>
      <x:c r="G92" s="158" t="str">
        <x:v>Có</x:v>
      </x:c>
      <x:c r="H92" s="158" t="str">
        <x:v>Chưa bắt đầu</x:v>
      </x:c>
      <x:c r="I92" s="245" t="n">
        <x:v>0</x:v>
      </x:c>
      <x:c r="J92" s="158" t="str"/>
      <x:c r="K92" s="158" t="str"/>
      <x:c r="L92" s="194" t="n">
        <x:f>IFERROR(MIN(I92/D92,1),0)</x:f>
        <x:v>0</x:v>
      </x:c>
    </x:row>
    <x:row r="93" ht="56" customHeight="1">
      <x:c r="A93" s="158" t="n">
        <x:v>13</x:v>
      </x:c>
      <x:c r="B93" s="158" t="str">
        <x:v>Tài liệu hóa</x:v>
      </x:c>
      <x:c r="C93" s="158" t="str">
        <x:v>Cập nhật kafka-lab; sơ đồ partition; kiểm thử tích hợp; bổ sung sơ đồ hoặc bảng quyết định khi phù hợp.</x:v>
      </x:c>
      <x:c r="D93" s="245" t="n">
        <x:v>1.5</x:v>
      </x:c>
      <x:c r="E93" s="158" t="str">
        <x:f>"Trang 10 → lọc Tuần "&amp;A93</x:f>
        <x:v>Trang 10 → lọc Tuần 13</x:v>
      </x:c>
      <x:c r="F93" s="158" t="str">
        <x:v>Tài liệu/sơ đồ/báo cáo</x:v>
      </x:c>
      <x:c r="G93" s="158" t="str">
        <x:v>Có</x:v>
      </x:c>
      <x:c r="H93" s="158" t="str">
        <x:v>Chưa bắt đầu</x:v>
      </x:c>
      <x:c r="I93" s="245" t="n">
        <x:v>0</x:v>
      </x:c>
      <x:c r="J93" s="158" t="str"/>
      <x:c r="K93" s="158" t="str"/>
      <x:c r="L93" s="194" t="n">
        <x:f>IFERROR(MIN(I93/D93,1),0)</x:f>
        <x:v>0</x:v>
      </x:c>
    </x:row>
    <x:row r="94" ht="56" customHeight="1">
      <x:c r="A94" s="158" t="n">
        <x:v>13</x:v>
      </x:c>
      <x:c r="B94" s="158" t="str">
        <x:v>Tiếng Anh kỹ thuật</x:v>
      </x:c>
      <x:c r="C94" s="158" t="str">
        <x:v>Trình bày Kafka căn bản bằng tiếng Anh 5–10 phút; ghi âm và tự ghi ba lỗi cần sửa.</x:v>
      </x:c>
      <x:c r="D94" s="245" t="n">
        <x:v>1.5</x:v>
      </x:c>
      <x:c r="E94" s="158" t="str">
        <x:f>"Trang 10 → lọc Tuần "&amp;A94</x:f>
        <x:v>Trang 10 → lọc Tuần 13</x:v>
      </x:c>
      <x:c r="F94" s="158" t="str">
        <x:v>Bản ghi âm và danh sách lỗi</x:v>
      </x:c>
      <x:c r="G94" s="158" t="str">
        <x:v>Có</x:v>
      </x:c>
      <x:c r="H94" s="158" t="str">
        <x:v>Chưa bắt đầu</x:v>
      </x:c>
      <x:c r="I94" s="245" t="n">
        <x:v>0</x:v>
      </x:c>
      <x:c r="J94" s="158" t="str"/>
      <x:c r="K94" s="158" t="str"/>
      <x:c r="L94" s="194" t="n">
        <x:f>IFERROR(MIN(I94/D94,1),0)</x:f>
        <x:v>0</x:v>
      </x:c>
    </x:row>
    <x:row r="95" ht="56" customHeight="1">
      <x:c r="A95" s="158" t="n">
        <x:v>13</x:v>
      </x:c>
      <x:c r="B95" s="158" t="str">
        <x:v>Đánh giá tuần</x:v>
      </x:c>
      <x:c r="C95" s="158" t="str">
        <x:v>Tự kiểm tra 10 câu, đánh giá toàn bộ checklist tuần, chốt tồn đọng và kế hoạch sửa.</x:v>
      </x:c>
      <x:c r="D95" s="245" t="n">
        <x:v>2</x:v>
      </x:c>
      <x:c r="E95" s="158" t="str">
        <x:f>"Trang 10 → lọc Tuần "&amp;A95</x:f>
        <x:v>Trang 10 → lọc Tuần 13</x:v>
      </x:c>
      <x:c r="F95" s="158" t="str">
        <x:v>Điểm tự kiểm tra và retrospective</x:v>
      </x:c>
      <x:c r="G95" s="158" t="str">
        <x:v>Có</x:v>
      </x:c>
      <x:c r="H95" s="158" t="str">
        <x:v>Chưa bắt đầu</x:v>
      </x:c>
      <x:c r="I95" s="245" t="n">
        <x:v>0</x:v>
      </x:c>
      <x:c r="J95" s="158" t="str"/>
      <x:c r="K95" s="158" t="str"/>
      <x:c r="L95" s="194" t="n">
        <x:f>IFERROR(MIN(I95/D95,1),0)</x:f>
        <x:v>0</x:v>
      </x:c>
    </x:row>
    <x:row r="96" ht="56" customHeight="1">
      <x:c r="A96" s="158" t="n">
        <x:v>14</x:v>
      </x:c>
      <x:c r="B96" s="158" t="str">
        <x:v>Học trọng tâm</x:v>
      </x:c>
      <x:c r="C96" s="158" t="str">
        <x:v>Đọc tài liệu R19, R20; tập trung: Acknowledgement, retry topic, dead-letter topic, duplicate delivery, schema evolution và exactly-once boundary. Ghi lại thuật ngữ, quy tắc và điểm chưa hiểu.</x:v>
      </x:c>
      <x:c r="D96" s="245" t="n">
        <x:v>2.5</x:v>
      </x:c>
      <x:c r="E96" s="158" t="str">
        <x:f>"Trang 10 → lọc Tuần "&amp;A96</x:f>
        <x:v>Trang 10 → lọc Tuần 14</x:v>
      </x:c>
      <x:c r="F96" s="158" t="str">
        <x:v>Ghi chú học tập và danh sách câu hỏi</x:v>
      </x:c>
      <x:c r="G96" s="158" t="str">
        <x:v>Có</x:v>
      </x:c>
      <x:c r="H96" s="158" t="str">
        <x:v>Chưa bắt đầu</x:v>
      </x:c>
      <x:c r="I96" s="245" t="n">
        <x:v>0</x:v>
      </x:c>
      <x:c r="J96" s="158" t="str"/>
      <x:c r="K96" s="158" t="str"/>
      <x:c r="L96" s="194" t="n">
        <x:f>IFERROR(MIN(I96/D96,1),0)</x:f>
        <x:v>0</x:v>
      </x:c>
    </x:row>
    <x:row r="97" ht="56" customHeight="1">
      <x:c r="A97" s="158" t="n">
        <x:v>14</x:v>
      </x:c>
      <x:c r="B97" s="158" t="str">
        <x:v>Ghi chú kiến thức</x:v>
      </x:c>
      <x:c r="C97" s="158" t="str">
        <x:v>Viết bản tóm tắt một trang về Kafka tin cậy và xử lý lỗi; nêu ít nhất hai lựa chọn kỹ thuật và trade-off.</x:v>
      </x:c>
      <x:c r="D97" s="245" t="n">
        <x:v>1.5</x:v>
      </x:c>
      <x:c r="E97" s="158" t="str">
        <x:f>"Trang 10 → lọc Tuần "&amp;A97</x:f>
        <x:v>Trang 10 → lọc Tuần 14</x:v>
      </x:c>
      <x:c r="F97" s="158" t="str">
        <x:v>Tóm tắt một trang/ADR ngắn</x:v>
      </x:c>
      <x:c r="G97" s="158" t="str">
        <x:v>Có</x:v>
      </x:c>
      <x:c r="H97" s="158" t="str">
        <x:v>Chưa bắt đầu</x:v>
      </x:c>
      <x:c r="I97" s="245" t="n">
        <x:v>0</x:v>
      </x:c>
      <x:c r="J97" s="158" t="str"/>
      <x:c r="K97" s="158" t="str"/>
      <x:c r="L97" s="194" t="n">
        <x:f>IFERROR(MIN(I97/D97,1),0)</x:f>
        <x:v>0</x:v>
      </x:c>
    </x:row>
    <x:row r="98" ht="56" customHeight="1">
      <x:c r="A98" s="158" t="n">
        <x:v>14</x:v>
      </x:c>
      <x:c r="B98" s="158" t="str">
        <x:v>Xây dựng</x:v>
      </x:c>
      <x:c r="C98" s="158" t="str">
        <x:v>Thực hiện mục tiêu: Xử lý thông điệp lỗi, trùng và poison message mà không mất luồng. Chia commit nhỏ, thông điệp commit rõ ràng.</x:v>
      </x:c>
      <x:c r="D98" s="245" t="n">
        <x:v>4</x:v>
      </x:c>
      <x:c r="E98" s="158" t="str">
        <x:f>"Trang 10 → lọc Tuần "&amp;A98</x:f>
        <x:v>Trang 10 → lọc Tuần 14</x:v>
      </x:c>
      <x:c r="F98" s="158" t="str">
        <x:v>Mã nguồn hoặc cấu hình chạy được</x:v>
      </x:c>
      <x:c r="G98" s="158" t="str">
        <x:v>Có</x:v>
      </x:c>
      <x:c r="H98" s="158" t="str">
        <x:v>Chưa bắt đầu</x:v>
      </x:c>
      <x:c r="I98" s="245" t="n">
        <x:v>0</x:v>
      </x:c>
      <x:c r="J98" s="158" t="str"/>
      <x:c r="K98" s="158" t="str"/>
      <x:c r="L98" s="194" t="n">
        <x:f>IFERROR(MIN(I98/D98,1),0)</x:f>
        <x:v>0</x:v>
      </x:c>
    </x:row>
    <x:row r="99" ht="56" customHeight="1">
      <x:c r="A99" s="158" t="n">
        <x:v>14</x:v>
      </x:c>
      <x:c r="B99" s="158" t="str">
        <x:v>Kiểm thử</x:v>
      </x:c>
      <x:c r="C99" s="158" t="str">
        <x:v>Viết kiểm thử cho ba tiêu chí: Thông điệp lỗi tạm thời được retry có giới hạn; Poison message đi vào dead-letter topic; Consumer chịu được giao hàng trùng.</x:v>
      </x:c>
      <x:c r="D99" s="245" t="n">
        <x:v>2</x:v>
      </x:c>
      <x:c r="E99" s="158" t="str">
        <x:f>"Trang 10 → lọc Tuần "&amp;A99</x:f>
        <x:v>Trang 10 → lọc Tuần 14</x:v>
      </x:c>
      <x:c r="F99" s="158" t="str">
        <x:v>Bộ kiểm thử và kết quả chạy</x:v>
      </x:c>
      <x:c r="G99" s="158" t="str">
        <x:v>Có</x:v>
      </x:c>
      <x:c r="H99" s="158" t="str">
        <x:v>Chưa bắt đầu</x:v>
      </x:c>
      <x:c r="I99" s="245" t="n">
        <x:v>0</x:v>
      </x:c>
      <x:c r="J99" s="158" t="str"/>
      <x:c r="K99" s="158" t="str"/>
      <x:c r="L99" s="194" t="n">
        <x:f>IFERROR(MIN(I99/D99,1),0)</x:f>
        <x:v>0</x:v>
      </x:c>
    </x:row>
    <x:row r="100" ht="56" customHeight="1">
      <x:c r="A100" s="158" t="n">
        <x:v>14</x:v>
      </x:c>
      <x:c r="B100" s="158" t="str">
        <x:v>Tài liệu hóa</x:v>
      </x:c>
      <x:c r="C100" s="158" t="str">
        <x:v>Cập nhật retry/DLT implementation; failure matrix; recovery runbook; bổ sung sơ đồ hoặc bảng quyết định khi phù hợp.</x:v>
      </x:c>
      <x:c r="D100" s="245" t="n">
        <x:v>1.5</x:v>
      </x:c>
      <x:c r="E100" s="158" t="str">
        <x:f>"Trang 10 → lọc Tuần "&amp;A100</x:f>
        <x:v>Trang 10 → lọc Tuần 14</x:v>
      </x:c>
      <x:c r="F100" s="158" t="str">
        <x:v>Tài liệu/sơ đồ/báo cáo</x:v>
      </x:c>
      <x:c r="G100" s="158" t="str">
        <x:v>Có</x:v>
      </x:c>
      <x:c r="H100" s="158" t="str">
        <x:v>Chưa bắt đầu</x:v>
      </x:c>
      <x:c r="I100" s="245" t="n">
        <x:v>0</x:v>
      </x:c>
      <x:c r="J100" s="158" t="str"/>
      <x:c r="K100" s="158" t="str"/>
      <x:c r="L100" s="194" t="n">
        <x:f>IFERROR(MIN(I100/D100,1),0)</x:f>
        <x:v>0</x:v>
      </x:c>
    </x:row>
    <x:row r="101" ht="56" customHeight="1">
      <x:c r="A101" s="158" t="n">
        <x:v>14</x:v>
      </x:c>
      <x:c r="B101" s="158" t="str">
        <x:v>Tiếng Anh kỹ thuật</x:v>
      </x:c>
      <x:c r="C101" s="158" t="str">
        <x:v>Trình bày Kafka tin cậy và xử lý lỗi bằng tiếng Anh 5–10 phút; ghi âm và tự ghi ba lỗi cần sửa.</x:v>
      </x:c>
      <x:c r="D101" s="245" t="n">
        <x:v>1.5</x:v>
      </x:c>
      <x:c r="E101" s="158" t="str">
        <x:f>"Trang 10 → lọc Tuần "&amp;A101</x:f>
        <x:v>Trang 10 → lọc Tuần 14</x:v>
      </x:c>
      <x:c r="F101" s="158" t="str">
        <x:v>Bản ghi âm và danh sách lỗi</x:v>
      </x:c>
      <x:c r="G101" s="158" t="str">
        <x:v>Có</x:v>
      </x:c>
      <x:c r="H101" s="158" t="str">
        <x:v>Chưa bắt đầu</x:v>
      </x:c>
      <x:c r="I101" s="245" t="n">
        <x:v>0</x:v>
      </x:c>
      <x:c r="J101" s="158" t="str"/>
      <x:c r="K101" s="158" t="str"/>
      <x:c r="L101" s="194" t="n">
        <x:f>IFERROR(MIN(I101/D101,1),0)</x:f>
        <x:v>0</x:v>
      </x:c>
    </x:row>
    <x:row r="102" ht="56" customHeight="1">
      <x:c r="A102" s="158" t="n">
        <x:v>14</x:v>
      </x:c>
      <x:c r="B102" s="158" t="str">
        <x:v>Đánh giá tuần</x:v>
      </x:c>
      <x:c r="C102" s="158" t="str">
        <x:v>Tự kiểm tra 10 câu, đánh giá toàn bộ checklist tuần, chốt tồn đọng và kế hoạch sửa.</x:v>
      </x:c>
      <x:c r="D102" s="245" t="n">
        <x:v>2</x:v>
      </x:c>
      <x:c r="E102" s="158" t="str">
        <x:f>"Trang 10 → lọc Tuần "&amp;A102</x:f>
        <x:v>Trang 10 → lọc Tuần 14</x:v>
      </x:c>
      <x:c r="F102" s="158" t="str">
        <x:v>Điểm tự kiểm tra và retrospective</x:v>
      </x:c>
      <x:c r="G102" s="158" t="str">
        <x:v>Có</x:v>
      </x:c>
      <x:c r="H102" s="158" t="str">
        <x:v>Chưa bắt đầu</x:v>
      </x:c>
      <x:c r="I102" s="245" t="n">
        <x:v>0</x:v>
      </x:c>
      <x:c r="J102" s="158" t="str"/>
      <x:c r="K102" s="158" t="str"/>
      <x:c r="L102" s="194" t="n">
        <x:f>IFERROR(MIN(I102/D102,1),0)</x:f>
        <x:v>0</x:v>
      </x:c>
    </x:row>
    <x:row r="103" ht="56" customHeight="1">
      <x:c r="A103" s="158" t="n">
        <x:v>15</x:v>
      </x:c>
      <x:c r="B103" s="158" t="str">
        <x:v>Học trọng tâm</x:v>
      </x:c>
      <x:c r="C103" s="158" t="str">
        <x:v>Đọc tài liệu R21, R38; tập trung: Failure modes, timeout budget, exponential backoff, jitter, circuit breaker, bulkhead và fallback. Ghi lại thuật ngữ, quy tắc và điểm chưa hiểu.</x:v>
      </x:c>
      <x:c r="D103" s="245" t="n">
        <x:v>2.5</x:v>
      </x:c>
      <x:c r="E103" s="158" t="str">
        <x:f>"Trang 10 → lọc Tuần "&amp;A103</x:f>
        <x:v>Trang 10 → lọc Tuần 15</x:v>
      </x:c>
      <x:c r="F103" s="158" t="str">
        <x:v>Ghi chú học tập và danh sách câu hỏi</x:v>
      </x:c>
      <x:c r="G103" s="158" t="str">
        <x:v>Có</x:v>
      </x:c>
      <x:c r="H103" s="158" t="str">
        <x:v>Chưa bắt đầu</x:v>
      </x:c>
      <x:c r="I103" s="245" t="n">
        <x:v>0</x:v>
      </x:c>
      <x:c r="J103" s="158" t="str"/>
      <x:c r="K103" s="158" t="str"/>
      <x:c r="L103" s="194" t="n">
        <x:f>IFERROR(MIN(I103/D103,1),0)</x:f>
        <x:v>0</x:v>
      </x:c>
    </x:row>
    <x:row r="104" ht="56" customHeight="1">
      <x:c r="A104" s="158" t="n">
        <x:v>15</x:v>
      </x:c>
      <x:c r="B104" s="158" t="str">
        <x:v>Ghi chú kiến thức</x:v>
      </x:c>
      <x:c r="C104" s="158" t="str">
        <x:v>Viết bản tóm tắt một trang về Timeout, retry và circuit breaker; nêu ít nhất hai lựa chọn kỹ thuật và trade-off.</x:v>
      </x:c>
      <x:c r="D104" s="245" t="n">
        <x:v>1.5</x:v>
      </x:c>
      <x:c r="E104" s="158" t="str">
        <x:f>"Trang 10 → lọc Tuần "&amp;A104</x:f>
        <x:v>Trang 10 → lọc Tuần 15</x:v>
      </x:c>
      <x:c r="F104" s="158" t="str">
        <x:v>Tóm tắt một trang/ADR ngắn</x:v>
      </x:c>
      <x:c r="G104" s="158" t="str">
        <x:v>Có</x:v>
      </x:c>
      <x:c r="H104" s="158" t="str">
        <x:v>Chưa bắt đầu</x:v>
      </x:c>
      <x:c r="I104" s="245" t="n">
        <x:v>0</x:v>
      </x:c>
      <x:c r="J104" s="158" t="str"/>
      <x:c r="K104" s="158" t="str"/>
      <x:c r="L104" s="194" t="n">
        <x:f>IFERROR(MIN(I104/D104,1),0)</x:f>
        <x:v>0</x:v>
      </x:c>
    </x:row>
    <x:row r="105" ht="56" customHeight="1">
      <x:c r="A105" s="158" t="n">
        <x:v>15</x:v>
      </x:c>
      <x:c r="B105" s="158" t="str">
        <x:v>Xây dựng</x:v>
      </x:c>
      <x:c r="C105" s="158" t="str">
        <x:v>Thực hiện mục tiêu: Bảo vệ một tích hợp bên ngoài trước chậm, lỗi và quá tải. Chia commit nhỏ, thông điệp commit rõ ràng.</x:v>
      </x:c>
      <x:c r="D105" s="245" t="n">
        <x:v>4</x:v>
      </x:c>
      <x:c r="E105" s="158" t="str">
        <x:f>"Trang 10 → lọc Tuần "&amp;A105</x:f>
        <x:v>Trang 10 → lọc Tuần 15</x:v>
      </x:c>
      <x:c r="F105" s="158" t="str">
        <x:v>Mã nguồn hoặc cấu hình chạy được</x:v>
      </x:c>
      <x:c r="G105" s="158" t="str">
        <x:v>Có</x:v>
      </x:c>
      <x:c r="H105" s="158" t="str">
        <x:v>Chưa bắt đầu</x:v>
      </x:c>
      <x:c r="I105" s="245" t="n">
        <x:v>0</x:v>
      </x:c>
      <x:c r="J105" s="158" t="str"/>
      <x:c r="K105" s="158" t="str"/>
      <x:c r="L105" s="194" t="n">
        <x:f>IFERROR(MIN(I105/D105,1),0)</x:f>
        <x:v>0</x:v>
      </x:c>
    </x:row>
    <x:row r="106" ht="56" customHeight="1">
      <x:c r="A106" s="158" t="n">
        <x:v>15</x:v>
      </x:c>
      <x:c r="B106" s="158" t="str">
        <x:v>Kiểm thử</x:v>
      </x:c>
      <x:c r="C106" s="158" t="str">
        <x:v>Viết kiểm thử cho ba tiêu chí: Mọi cuộc gọi mạng đều có timeout; Retry không áp dụng mù quáng cho thao tác không idempotent; Backoff có giới hạn và jitter.</x:v>
      </x:c>
      <x:c r="D106" s="245" t="n">
        <x:v>2</x:v>
      </x:c>
      <x:c r="E106" s="158" t="str">
        <x:f>"Trang 10 → lọc Tuần "&amp;A106</x:f>
        <x:v>Trang 10 → lọc Tuần 15</x:v>
      </x:c>
      <x:c r="F106" s="158" t="str">
        <x:v>Bộ kiểm thử và kết quả chạy</x:v>
      </x:c>
      <x:c r="G106" s="158" t="str">
        <x:v>Có</x:v>
      </x:c>
      <x:c r="H106" s="158" t="str">
        <x:v>Chưa bắt đầu</x:v>
      </x:c>
      <x:c r="I106" s="245" t="n">
        <x:v>0</x:v>
      </x:c>
      <x:c r="J106" s="158" t="str"/>
      <x:c r="K106" s="158" t="str"/>
      <x:c r="L106" s="194" t="n">
        <x:f>IFERROR(MIN(I106/D106,1),0)</x:f>
        <x:v>0</x:v>
      </x:c>
    </x:row>
    <x:row r="107" ht="56" customHeight="1">
      <x:c r="A107" s="158" t="n">
        <x:v>15</x:v>
      </x:c>
      <x:c r="B107" s="158" t="str">
        <x:v>Tài liệu hóa</x:v>
      </x:c>
      <x:c r="C107" s="158" t="str">
        <x:v>Cập nhật resilience-lab; biểu đồ lỗi; bảng cấu hình và lý do; bổ sung sơ đồ hoặc bảng quyết định khi phù hợp.</x:v>
      </x:c>
      <x:c r="D107" s="245" t="n">
        <x:v>1.5</x:v>
      </x:c>
      <x:c r="E107" s="158" t="str">
        <x:f>"Trang 10 → lọc Tuần "&amp;A107</x:f>
        <x:v>Trang 10 → lọc Tuần 15</x:v>
      </x:c>
      <x:c r="F107" s="158" t="str">
        <x:v>Tài liệu/sơ đồ/báo cáo</x:v>
      </x:c>
      <x:c r="G107" s="158" t="str">
        <x:v>Có</x:v>
      </x:c>
      <x:c r="H107" s="158" t="str">
        <x:v>Chưa bắt đầu</x:v>
      </x:c>
      <x:c r="I107" s="245" t="n">
        <x:v>0</x:v>
      </x:c>
      <x:c r="J107" s="158" t="str"/>
      <x:c r="K107" s="158" t="str"/>
      <x:c r="L107" s="194" t="n">
        <x:f>IFERROR(MIN(I107/D107,1),0)</x:f>
        <x:v>0</x:v>
      </x:c>
    </x:row>
    <x:row r="108" ht="56" customHeight="1">
      <x:c r="A108" s="158" t="n">
        <x:v>15</x:v>
      </x:c>
      <x:c r="B108" s="158" t="str">
        <x:v>Tiếng Anh kỹ thuật</x:v>
      </x:c>
      <x:c r="C108" s="158" t="str">
        <x:v>Trình bày Timeout, retry và circuit breaker bằng tiếng Anh 5–10 phút; ghi âm và tự ghi ba lỗi cần sửa.</x:v>
      </x:c>
      <x:c r="D108" s="245" t="n">
        <x:v>1.5</x:v>
      </x:c>
      <x:c r="E108" s="158" t="str">
        <x:f>"Trang 10 → lọc Tuần "&amp;A108</x:f>
        <x:v>Trang 10 → lọc Tuần 15</x:v>
      </x:c>
      <x:c r="F108" s="158" t="str">
        <x:v>Bản ghi âm và danh sách lỗi</x:v>
      </x:c>
      <x:c r="G108" s="158" t="str">
        <x:v>Có</x:v>
      </x:c>
      <x:c r="H108" s="158" t="str">
        <x:v>Chưa bắt đầu</x:v>
      </x:c>
      <x:c r="I108" s="245" t="n">
        <x:v>0</x:v>
      </x:c>
      <x:c r="J108" s="158" t="str"/>
      <x:c r="K108" s="158" t="str"/>
      <x:c r="L108" s="194" t="n">
        <x:f>IFERROR(MIN(I108/D108,1),0)</x:f>
        <x:v>0</x:v>
      </x:c>
    </x:row>
    <x:row r="109" ht="56" customHeight="1">
      <x:c r="A109" s="158" t="n">
        <x:v>15</x:v>
      </x:c>
      <x:c r="B109" s="158" t="str">
        <x:v>Đánh giá tuần</x:v>
      </x:c>
      <x:c r="C109" s="158" t="str">
        <x:v>Tự kiểm tra 10 câu, đánh giá toàn bộ checklist tuần, chốt tồn đọng và kế hoạch sửa.</x:v>
      </x:c>
      <x:c r="D109" s="245" t="n">
        <x:v>2</x:v>
      </x:c>
      <x:c r="E109" s="158" t="str">
        <x:f>"Trang 10 → lọc Tuần "&amp;A109</x:f>
        <x:v>Trang 10 → lọc Tuần 15</x:v>
      </x:c>
      <x:c r="F109" s="158" t="str">
        <x:v>Điểm tự kiểm tra và retrospective</x:v>
      </x:c>
      <x:c r="G109" s="158" t="str">
        <x:v>Có</x:v>
      </x:c>
      <x:c r="H109" s="158" t="str">
        <x:v>Chưa bắt đầu</x:v>
      </x:c>
      <x:c r="I109" s="245" t="n">
        <x:v>0</x:v>
      </x:c>
      <x:c r="J109" s="158" t="str"/>
      <x:c r="K109" s="158" t="str"/>
      <x:c r="L109" s="194" t="n">
        <x:f>IFERROR(MIN(I109/D109,1),0)</x:f>
        <x:v>0</x:v>
      </x:c>
    </x:row>
    <x:row r="110" ht="56" customHeight="1">
      <x:c r="A110" s="158" t="n">
        <x:v>16</x:v>
      </x:c>
      <x:c r="B110" s="158" t="str">
        <x:v>Học trọng tâm</x:v>
      </x:c>
      <x:c r="C110" s="158" t="str">
        <x:v>Đọc tài liệu R19, R20, R07; tập trung: Dual-write problem, transactional outbox, idempotent consumer, orchestration/choreography và compensation. Ghi lại thuật ngữ, quy tắc và điểm chưa hiểu.</x:v>
      </x:c>
      <x:c r="D110" s="245" t="n">
        <x:v>2.5</x:v>
      </x:c>
      <x:c r="E110" s="158" t="str">
        <x:f>"Trang 10 → lọc Tuần "&amp;A110</x:f>
        <x:v>Trang 10 → lọc Tuần 16</x:v>
      </x:c>
      <x:c r="F110" s="158" t="str">
        <x:v>Ghi chú học tập và danh sách câu hỏi</x:v>
      </x:c>
      <x:c r="G110" s="158" t="str">
        <x:v>Có</x:v>
      </x:c>
      <x:c r="H110" s="158" t="str">
        <x:v>Chưa bắt đầu</x:v>
      </x:c>
      <x:c r="I110" s="245" t="n">
        <x:v>0</x:v>
      </x:c>
      <x:c r="J110" s="158" t="str"/>
      <x:c r="K110" s="158" t="str"/>
      <x:c r="L110" s="194" t="n">
        <x:f>IFERROR(MIN(I110/D110,1),0)</x:f>
        <x:v>0</x:v>
      </x:c>
    </x:row>
    <x:row r="111" ht="56" customHeight="1">
      <x:c r="A111" s="158" t="n">
        <x:v>16</x:v>
      </x:c>
      <x:c r="B111" s="158" t="str">
        <x:v>Ghi chú kiến thức</x:v>
      </x:c>
      <x:c r="C111" s="158" t="str">
        <x:v>Viết bản tóm tắt một trang về Outbox, Saga và chống xử lý trùng; nêu ít nhất hai lựa chọn kỹ thuật và trade-off.</x:v>
      </x:c>
      <x:c r="D111" s="245" t="n">
        <x:v>1.5</x:v>
      </x:c>
      <x:c r="E111" s="158" t="str">
        <x:f>"Trang 10 → lọc Tuần "&amp;A111</x:f>
        <x:v>Trang 10 → lọc Tuần 16</x:v>
      </x:c>
      <x:c r="F111" s="158" t="str">
        <x:v>Tóm tắt một trang/ADR ngắn</x:v>
      </x:c>
      <x:c r="G111" s="158" t="str">
        <x:v>Có</x:v>
      </x:c>
      <x:c r="H111" s="158" t="str">
        <x:v>Chưa bắt đầu</x:v>
      </x:c>
      <x:c r="I111" s="245" t="n">
        <x:v>0</x:v>
      </x:c>
      <x:c r="J111" s="158" t="str"/>
      <x:c r="K111" s="158" t="str"/>
      <x:c r="L111" s="194" t="n">
        <x:f>IFERROR(MIN(I111/D111,1),0)</x:f>
        <x:v>0</x:v>
      </x:c>
    </x:row>
    <x:row r="112" ht="56" customHeight="1">
      <x:c r="A112" s="158" t="n">
        <x:v>16</x:v>
      </x:c>
      <x:c r="B112" s="158" t="str">
        <x:v>Xây dựng</x:v>
      </x:c>
      <x:c r="C112" s="158" t="str">
        <x:v>Thực hiện mục tiêu: Ghi giao dịch và sự kiện tin cậy mà không dùng distributed transaction. Chia commit nhỏ, thông điệp commit rõ ràng.</x:v>
      </x:c>
      <x:c r="D112" s="245" t="n">
        <x:v>4</x:v>
      </x:c>
      <x:c r="E112" s="158" t="str">
        <x:f>"Trang 10 → lọc Tuần "&amp;A112</x:f>
        <x:v>Trang 10 → lọc Tuần 16</x:v>
      </x:c>
      <x:c r="F112" s="158" t="str">
        <x:v>Mã nguồn hoặc cấu hình chạy được</x:v>
      </x:c>
      <x:c r="G112" s="158" t="str">
        <x:v>Có</x:v>
      </x:c>
      <x:c r="H112" s="158" t="str">
        <x:v>Chưa bắt đầu</x:v>
      </x:c>
      <x:c r="I112" s="245" t="n">
        <x:v>0</x:v>
      </x:c>
      <x:c r="J112" s="158" t="str"/>
      <x:c r="K112" s="158" t="str"/>
      <x:c r="L112" s="194" t="n">
        <x:f>IFERROR(MIN(I112/D112,1),0)</x:f>
        <x:v>0</x:v>
      </x:c>
    </x:row>
    <x:row r="113" ht="56" customHeight="1">
      <x:c r="A113" s="158" t="n">
        <x:v>16</x:v>
      </x:c>
      <x:c r="B113" s="158" t="str">
        <x:v>Kiểm thử</x:v>
      </x:c>
      <x:c r="C113" s="158" t="str">
        <x:v>Viết kiểm thử cho ba tiêu chí: Business data và outbox record nằm trong cùng transaction; Publisher có thể chạy lại mà không mất sự kiện; Consumer nhận trùng không tạo tác động trùng.</x:v>
      </x:c>
      <x:c r="D113" s="245" t="n">
        <x:v>2</x:v>
      </x:c>
      <x:c r="E113" s="158" t="str">
        <x:f>"Trang 10 → lọc Tuần "&amp;A113</x:f>
        <x:v>Trang 10 → lọc Tuần 16</x:v>
      </x:c>
      <x:c r="F113" s="158" t="str">
        <x:v>Bộ kiểm thử và kết quả chạy</x:v>
      </x:c>
      <x:c r="G113" s="158" t="str">
        <x:v>Có</x:v>
      </x:c>
      <x:c r="H113" s="158" t="str">
        <x:v>Chưa bắt đầu</x:v>
      </x:c>
      <x:c r="I113" s="245" t="n">
        <x:v>0</x:v>
      </x:c>
      <x:c r="J113" s="158" t="str"/>
      <x:c r="K113" s="158" t="str"/>
      <x:c r="L113" s="194" t="n">
        <x:f>IFERROR(MIN(I113/D113,1),0)</x:f>
        <x:v>0</x:v>
      </x:c>
    </x:row>
    <x:row r="114" ht="56" customHeight="1">
      <x:c r="A114" s="158" t="n">
        <x:v>16</x:v>
      </x:c>
      <x:c r="B114" s="158" t="str">
        <x:v>Tài liệu hóa</x:v>
      </x:c>
      <x:c r="C114" s="158" t="str">
        <x:v>Cập nhật outbox implementation; saga diagram; kiểm thử crash recovery; bổ sung sơ đồ hoặc bảng quyết định khi phù hợp.</x:v>
      </x:c>
      <x:c r="D114" s="245" t="n">
        <x:v>1.5</x:v>
      </x:c>
      <x:c r="E114" s="158" t="str">
        <x:f>"Trang 10 → lọc Tuần "&amp;A114</x:f>
        <x:v>Trang 10 → lọc Tuần 16</x:v>
      </x:c>
      <x:c r="F114" s="158" t="str">
        <x:v>Tài liệu/sơ đồ/báo cáo</x:v>
      </x:c>
      <x:c r="G114" s="158" t="str">
        <x:v>Có</x:v>
      </x:c>
      <x:c r="H114" s="158" t="str">
        <x:v>Chưa bắt đầu</x:v>
      </x:c>
      <x:c r="I114" s="245" t="n">
        <x:v>0</x:v>
      </x:c>
      <x:c r="J114" s="158" t="str"/>
      <x:c r="K114" s="158" t="str"/>
      <x:c r="L114" s="194" t="n">
        <x:f>IFERROR(MIN(I114/D114,1),0)</x:f>
        <x:v>0</x:v>
      </x:c>
    </x:row>
    <x:row r="115" ht="56" customHeight="1">
      <x:c r="A115" s="158" t="n">
        <x:v>16</x:v>
      </x:c>
      <x:c r="B115" s="158" t="str">
        <x:v>Tiếng Anh kỹ thuật</x:v>
      </x:c>
      <x:c r="C115" s="158" t="str">
        <x:v>Trình bày Outbox, Saga và chống xử lý trùng bằng tiếng Anh 5–10 phút; ghi âm và tự ghi ba lỗi cần sửa.</x:v>
      </x:c>
      <x:c r="D115" s="245" t="n">
        <x:v>1.5</x:v>
      </x:c>
      <x:c r="E115" s="158" t="str">
        <x:f>"Trang 10 → lọc Tuần "&amp;A115</x:f>
        <x:v>Trang 10 → lọc Tuần 16</x:v>
      </x:c>
      <x:c r="F115" s="158" t="str">
        <x:v>Bản ghi âm và danh sách lỗi</x:v>
      </x:c>
      <x:c r="G115" s="158" t="str">
        <x:v>Có</x:v>
      </x:c>
      <x:c r="H115" s="158" t="str">
        <x:v>Chưa bắt đầu</x:v>
      </x:c>
      <x:c r="I115" s="245" t="n">
        <x:v>0</x:v>
      </x:c>
      <x:c r="J115" s="158" t="str"/>
      <x:c r="K115" s="158" t="str"/>
      <x:c r="L115" s="194" t="n">
        <x:f>IFERROR(MIN(I115/D115,1),0)</x:f>
        <x:v>0</x:v>
      </x:c>
    </x:row>
    <x:row r="116" ht="56" customHeight="1">
      <x:c r="A116" s="158" t="n">
        <x:v>16</x:v>
      </x:c>
      <x:c r="B116" s="158" t="str">
        <x:v>Đánh giá tuần</x:v>
      </x:c>
      <x:c r="C116" s="158" t="str">
        <x:v>Tự kiểm tra 10 câu, đánh giá toàn bộ checklist tuần, chốt tồn đọng và kế hoạch sửa.</x:v>
      </x:c>
      <x:c r="D116" s="245" t="n">
        <x:v>2</x:v>
      </x:c>
      <x:c r="E116" s="158" t="str">
        <x:f>"Trang 10 → lọc Tuần "&amp;A116</x:f>
        <x:v>Trang 10 → lọc Tuần 16</x:v>
      </x:c>
      <x:c r="F116" s="158" t="str">
        <x:v>Điểm tự kiểm tra và retrospective</x:v>
      </x:c>
      <x:c r="G116" s="158" t="str">
        <x:v>Có</x:v>
      </x:c>
      <x:c r="H116" s="158" t="str">
        <x:v>Chưa bắt đầu</x:v>
      </x:c>
      <x:c r="I116" s="245" t="n">
        <x:v>0</x:v>
      </x:c>
      <x:c r="J116" s="158" t="str"/>
      <x:c r="K116" s="158" t="str"/>
      <x:c r="L116" s="194" t="n">
        <x:f>IFERROR(MIN(I116/D116,1),0)</x:f>
        <x:v>0</x:v>
      </x:c>
    </x:row>
    <x:row r="117" ht="56" customHeight="1">
      <x:c r="A117" s="158" t="n">
        <x:v>17</x:v>
      </x:c>
      <x:c r="B117" s="158" t="str">
        <x:v>Học trọng tâm</x:v>
      </x:c>
      <x:c r="C117" s="158" t="str">
        <x:v>Đọc tài liệu R22, R23, R24, R38; tập trung: Structured logging, correlation ID, RED metrics, distributed tracing, SLI/SLO và alert design. Ghi lại thuật ngữ, quy tắc và điểm chưa hiểu.</x:v>
      </x:c>
      <x:c r="D117" s="245" t="n">
        <x:v>2.5</x:v>
      </x:c>
      <x:c r="E117" s="158" t="str">
        <x:f>"Trang 10 → lọc Tuần "&amp;A117</x:f>
        <x:v>Trang 10 → lọc Tuần 17</x:v>
      </x:c>
      <x:c r="F117" s="158" t="str">
        <x:v>Ghi chú học tập và danh sách câu hỏi</x:v>
      </x:c>
      <x:c r="G117" s="158" t="str">
        <x:v>Có</x:v>
      </x:c>
      <x:c r="H117" s="158" t="str">
        <x:v>Chưa bắt đầu</x:v>
      </x:c>
      <x:c r="I117" s="245" t="n">
        <x:v>0</x:v>
      </x:c>
      <x:c r="J117" s="158" t="str"/>
      <x:c r="K117" s="158" t="str"/>
      <x:c r="L117" s="194" t="n">
        <x:f>IFERROR(MIN(I117/D117,1),0)</x:f>
        <x:v>0</x:v>
      </x:c>
    </x:row>
    <x:row r="118" ht="56" customHeight="1">
      <x:c r="A118" s="158" t="n">
        <x:v>17</x:v>
      </x:c>
      <x:c r="B118" s="158" t="str">
        <x:v>Ghi chú kiến thức</x:v>
      </x:c>
      <x:c r="C118" s="158" t="str">
        <x:v>Viết bản tóm tắt một trang về Log, metric, trace và cảnh báo; nêu ít nhất hai lựa chọn kỹ thuật và trade-off.</x:v>
      </x:c>
      <x:c r="D118" s="245" t="n">
        <x:v>1.5</x:v>
      </x:c>
      <x:c r="E118" s="158" t="str">
        <x:f>"Trang 10 → lọc Tuần "&amp;A118</x:f>
        <x:v>Trang 10 → lọc Tuần 17</x:v>
      </x:c>
      <x:c r="F118" s="158" t="str">
        <x:v>Tóm tắt một trang/ADR ngắn</x:v>
      </x:c>
      <x:c r="G118" s="158" t="str">
        <x:v>Có</x:v>
      </x:c>
      <x:c r="H118" s="158" t="str">
        <x:v>Chưa bắt đầu</x:v>
      </x:c>
      <x:c r="I118" s="245" t="n">
        <x:v>0</x:v>
      </x:c>
      <x:c r="J118" s="158" t="str"/>
      <x:c r="K118" s="158" t="str"/>
      <x:c r="L118" s="194" t="n">
        <x:f>IFERROR(MIN(I118/D118,1),0)</x:f>
        <x:v>0</x:v>
      </x:c>
    </x:row>
    <x:row r="119" ht="56" customHeight="1">
      <x:c r="A119" s="158" t="n">
        <x:v>17</x:v>
      </x:c>
      <x:c r="B119" s="158" t="str">
        <x:v>Xây dựng</x:v>
      </x:c>
      <x:c r="C119" s="158" t="str">
        <x:v>Thực hiện mục tiêu: Theo dõi một giao dịch xuyên qua API, database, Kafka và consumer. Chia commit nhỏ, thông điệp commit rõ ràng.</x:v>
      </x:c>
      <x:c r="D119" s="245" t="n">
        <x:v>4</x:v>
      </x:c>
      <x:c r="E119" s="158" t="str">
        <x:f>"Trang 10 → lọc Tuần "&amp;A119</x:f>
        <x:v>Trang 10 → lọc Tuần 17</x:v>
      </x:c>
      <x:c r="F119" s="158" t="str">
        <x:v>Mã nguồn hoặc cấu hình chạy được</x:v>
      </x:c>
      <x:c r="G119" s="158" t="str">
        <x:v>Có</x:v>
      </x:c>
      <x:c r="H119" s="158" t="str">
        <x:v>Chưa bắt đầu</x:v>
      </x:c>
      <x:c r="I119" s="245" t="n">
        <x:v>0</x:v>
      </x:c>
      <x:c r="J119" s="158" t="str"/>
      <x:c r="K119" s="158" t="str"/>
      <x:c r="L119" s="194" t="n">
        <x:f>IFERROR(MIN(I119/D119,1),0)</x:f>
        <x:v>0</x:v>
      </x:c>
    </x:row>
    <x:row r="120" ht="56" customHeight="1">
      <x:c r="A120" s="158" t="n">
        <x:v>17</x:v>
      </x:c>
      <x:c r="B120" s="158" t="str">
        <x:v>Kiểm thử</x:v>
      </x:c>
      <x:c r="C120" s="158" t="str">
        <x:v>Viết kiểm thử cho ba tiêu chí: Log có cấu trúc và correlation ID; Không có bí mật hoặc dữ liệu nhạy cảm trong log; Có metric rate, error và duration.</x:v>
      </x:c>
      <x:c r="D120" s="245" t="n">
        <x:v>2</x:v>
      </x:c>
      <x:c r="E120" s="158" t="str">
        <x:f>"Trang 10 → lọc Tuần "&amp;A120</x:f>
        <x:v>Trang 10 → lọc Tuần 17</x:v>
      </x:c>
      <x:c r="F120" s="158" t="str">
        <x:v>Bộ kiểm thử và kết quả chạy</x:v>
      </x:c>
      <x:c r="G120" s="158" t="str">
        <x:v>Có</x:v>
      </x:c>
      <x:c r="H120" s="158" t="str">
        <x:v>Chưa bắt đầu</x:v>
      </x:c>
      <x:c r="I120" s="245" t="n">
        <x:v>0</x:v>
      </x:c>
      <x:c r="J120" s="158" t="str"/>
      <x:c r="K120" s="158" t="str"/>
      <x:c r="L120" s="194" t="n">
        <x:f>IFERROR(MIN(I120/D120,1),0)</x:f>
        <x:v>0</x:v>
      </x:c>
    </x:row>
    <x:row r="121" ht="56" customHeight="1">
      <x:c r="A121" s="158" t="n">
        <x:v>17</x:v>
      </x:c>
      <x:c r="B121" s="158" t="str">
        <x:v>Tài liệu hóa</x:v>
      </x:c>
      <x:c r="C121" s="158" t="str">
        <x:v>Cập nhật dashboard; trace mẫu; alert rules; observability runbook; bổ sung sơ đồ hoặc bảng quyết định khi phù hợp.</x:v>
      </x:c>
      <x:c r="D121" s="245" t="n">
        <x:v>1.5</x:v>
      </x:c>
      <x:c r="E121" s="158" t="str">
        <x:f>"Trang 10 → lọc Tuần "&amp;A121</x:f>
        <x:v>Trang 10 → lọc Tuần 17</x:v>
      </x:c>
      <x:c r="F121" s="158" t="str">
        <x:v>Tài liệu/sơ đồ/báo cáo</x:v>
      </x:c>
      <x:c r="G121" s="158" t="str">
        <x:v>Có</x:v>
      </x:c>
      <x:c r="H121" s="158" t="str">
        <x:v>Chưa bắt đầu</x:v>
      </x:c>
      <x:c r="I121" s="245" t="n">
        <x:v>0</x:v>
      </x:c>
      <x:c r="J121" s="158" t="str"/>
      <x:c r="K121" s="158" t="str"/>
      <x:c r="L121" s="194" t="n">
        <x:f>IFERROR(MIN(I121/D121,1),0)</x:f>
        <x:v>0</x:v>
      </x:c>
    </x:row>
    <x:row r="122" ht="56" customHeight="1">
      <x:c r="A122" s="158" t="n">
        <x:v>17</x:v>
      </x:c>
      <x:c r="B122" s="158" t="str">
        <x:v>Tiếng Anh kỹ thuật</x:v>
      </x:c>
      <x:c r="C122" s="158" t="str">
        <x:v>Trình bày Log, metric, trace và cảnh báo bằng tiếng Anh 5–10 phút; ghi âm và tự ghi ba lỗi cần sửa.</x:v>
      </x:c>
      <x:c r="D122" s="245" t="n">
        <x:v>1.5</x:v>
      </x:c>
      <x:c r="E122" s="158" t="str">
        <x:f>"Trang 10 → lọc Tuần "&amp;A122</x:f>
        <x:v>Trang 10 → lọc Tuần 17</x:v>
      </x:c>
      <x:c r="F122" s="158" t="str">
        <x:v>Bản ghi âm và danh sách lỗi</x:v>
      </x:c>
      <x:c r="G122" s="158" t="str">
        <x:v>Có</x:v>
      </x:c>
      <x:c r="H122" s="158" t="str">
        <x:v>Chưa bắt đầu</x:v>
      </x:c>
      <x:c r="I122" s="245" t="n">
        <x:v>0</x:v>
      </x:c>
      <x:c r="J122" s="158" t="str"/>
      <x:c r="K122" s="158" t="str"/>
      <x:c r="L122" s="194" t="n">
        <x:f>IFERROR(MIN(I122/D122,1),0)</x:f>
        <x:v>0</x:v>
      </x:c>
    </x:row>
    <x:row r="123" ht="56" customHeight="1">
      <x:c r="A123" s="158" t="n">
        <x:v>17</x:v>
      </x:c>
      <x:c r="B123" s="158" t="str">
        <x:v>Đánh giá tuần</x:v>
      </x:c>
      <x:c r="C123" s="158" t="str">
        <x:v>Tự kiểm tra 10 câu, đánh giá toàn bộ checklist tuần, chốt tồn đọng và kế hoạch sửa.</x:v>
      </x:c>
      <x:c r="D123" s="245" t="n">
        <x:v>2</x:v>
      </x:c>
      <x:c r="E123" s="158" t="str">
        <x:f>"Trang 10 → lọc Tuần "&amp;A123</x:f>
        <x:v>Trang 10 → lọc Tuần 17</x:v>
      </x:c>
      <x:c r="F123" s="158" t="str">
        <x:v>Điểm tự kiểm tra và retrospective</x:v>
      </x:c>
      <x:c r="G123" s="158" t="str">
        <x:v>Có</x:v>
      </x:c>
      <x:c r="H123" s="158" t="str">
        <x:v>Chưa bắt đầu</x:v>
      </x:c>
      <x:c r="I123" s="245" t="n">
        <x:v>0</x:v>
      </x:c>
      <x:c r="J123" s="158" t="str"/>
      <x:c r="K123" s="158" t="str"/>
      <x:c r="L123" s="194" t="n">
        <x:f>IFERROR(MIN(I123/D123,1),0)</x:f>
        <x:v>0</x:v>
      </x:c>
    </x:row>
    <x:row r="124" ht="56" customHeight="1">
      <x:c r="A124" s="158" t="n">
        <x:v>18</x:v>
      </x:c>
      <x:c r="B124" s="158" t="str">
        <x:v>Học trọng tâm</x:v>
      </x:c>
      <x:c r="C124" s="158" t="str">
        <x:v>Đọc tài liệu R26, R27; tập trung: Customer, account, ledger, entry, transaction, posted/pending/available balance và auditability. Ghi lại thuật ngữ, quy tắc và điểm chưa hiểu.</x:v>
      </x:c>
      <x:c r="D124" s="245" t="n">
        <x:v>2.5</x:v>
      </x:c>
      <x:c r="E124" s="158" t="str">
        <x:f>"Trang 10 → lọc Tuần "&amp;A124</x:f>
        <x:v>Trang 10 → lọc Tuần 18</x:v>
      </x:c>
      <x:c r="F124" s="158" t="str">
        <x:v>Ghi chú học tập và danh sách câu hỏi</x:v>
      </x:c>
      <x:c r="G124" s="158" t="str">
        <x:v>Có</x:v>
      </x:c>
      <x:c r="H124" s="158" t="str">
        <x:v>Chưa bắt đầu</x:v>
      </x:c>
      <x:c r="I124" s="245" t="n">
        <x:v>0</x:v>
      </x:c>
      <x:c r="J124" s="158" t="str"/>
      <x:c r="K124" s="158" t="str"/>
      <x:c r="L124" s="194" t="n">
        <x:f>IFERROR(MIN(I124/D124,1),0)</x:f>
        <x:v>0</x:v>
      </x:c>
    </x:row>
    <x:row r="125" ht="56" customHeight="1">
      <x:c r="A125" s="158" t="n">
        <x:v>18</x:v>
      </x:c>
      <x:c r="B125" s="158" t="str">
        <x:v>Ghi chú kiến thức</x:v>
      </x:c>
      <x:c r="C125" s="158" t="str">
        <x:v>Viết bản tóm tắt một trang về Nghiệp vụ tài khoản, số dư và sổ cái; nêu ít nhất hai lựa chọn kỹ thuật và trade-off.</x:v>
      </x:c>
      <x:c r="D125" s="245" t="n">
        <x:v>1.5</x:v>
      </x:c>
      <x:c r="E125" s="158" t="str">
        <x:f>"Trang 10 → lọc Tuần "&amp;A125</x:f>
        <x:v>Trang 10 → lọc Tuần 18</x:v>
      </x:c>
      <x:c r="F125" s="158" t="str">
        <x:v>Tóm tắt một trang/ADR ngắn</x:v>
      </x:c>
      <x:c r="G125" s="158" t="str">
        <x:v>Có</x:v>
      </x:c>
      <x:c r="H125" s="158" t="str">
        <x:v>Chưa bắt đầu</x:v>
      </x:c>
      <x:c r="I125" s="245" t="n">
        <x:v>0</x:v>
      </x:c>
      <x:c r="J125" s="158" t="str"/>
      <x:c r="K125" s="158" t="str"/>
      <x:c r="L125" s="194" t="n">
        <x:f>IFERROR(MIN(I125/D125,1),0)</x:f>
        <x:v>0</x:v>
      </x:c>
    </x:row>
    <x:row r="126" ht="56" customHeight="1">
      <x:c r="A126" s="158" t="n">
        <x:v>18</x:v>
      </x:c>
      <x:c r="B126" s="158" t="str">
        <x:v>Xây dựng</x:v>
      </x:c>
      <x:c r="C126" s="158" t="str">
        <x:v>Thực hiện mục tiêu: Hoàn thành mô hình miền và 12 quy tắc nghiệp vụ dự án ngân hàng. Chia commit nhỏ, thông điệp commit rõ ràng.</x:v>
      </x:c>
      <x:c r="D126" s="245" t="n">
        <x:v>4</x:v>
      </x:c>
      <x:c r="E126" s="158" t="str">
        <x:f>"Trang 10 → lọc Tuần "&amp;A126</x:f>
        <x:v>Trang 10 → lọc Tuần 18</x:v>
      </x:c>
      <x:c r="F126" s="158" t="str">
        <x:v>Mã nguồn hoặc cấu hình chạy được</x:v>
      </x:c>
      <x:c r="G126" s="158" t="str">
        <x:v>Có</x:v>
      </x:c>
      <x:c r="H126" s="158" t="str">
        <x:v>Chưa bắt đầu</x:v>
      </x:c>
      <x:c r="I126" s="245" t="n">
        <x:v>0</x:v>
      </x:c>
      <x:c r="J126" s="158" t="str"/>
      <x:c r="K126" s="158" t="str"/>
      <x:c r="L126" s="194" t="n">
        <x:f>IFERROR(MIN(I126/D126,1),0)</x:f>
        <x:v>0</x:v>
      </x:c>
    </x:row>
    <x:row r="127" ht="56" customHeight="1">
      <x:c r="A127" s="158" t="n">
        <x:v>18</x:v>
      </x:c>
      <x:c r="B127" s="158" t="str">
        <x:v>Kiểm thử</x:v>
      </x:c>
      <x:c r="C127" s="158" t="str">
        <x:v>Viết kiểm thử cho ba tiêu chí: Phân biệt được tài khoản khách hàng và tài khoản sổ cái; Định nghĩa rõ posted, pending và available balance; Mọi chuyển động tiền đều có nguồn và đích.</x:v>
      </x:c>
      <x:c r="D127" s="245" t="n">
        <x:v>2</x:v>
      </x:c>
      <x:c r="E127" s="158" t="str">
        <x:f>"Trang 10 → lọc Tuần "&amp;A127</x:f>
        <x:v>Trang 10 → lọc Tuần 18</x:v>
      </x:c>
      <x:c r="F127" s="158" t="str">
        <x:v>Bộ kiểm thử và kết quả chạy</x:v>
      </x:c>
      <x:c r="G127" s="158" t="str">
        <x:v>Có</x:v>
      </x:c>
      <x:c r="H127" s="158" t="str">
        <x:v>Chưa bắt đầu</x:v>
      </x:c>
      <x:c r="I127" s="245" t="n">
        <x:v>0</x:v>
      </x:c>
      <x:c r="J127" s="158" t="str"/>
      <x:c r="K127" s="158" t="str"/>
      <x:c r="L127" s="194" t="n">
        <x:f>IFERROR(MIN(I127/D127,1),0)</x:f>
        <x:v>0</x:v>
      </x:c>
    </x:row>
    <x:row r="128" ht="56" customHeight="1">
      <x:c r="A128" s="158" t="n">
        <x:v>18</x:v>
      </x:c>
      <x:c r="B128" s="158" t="str">
        <x:v>Tài liệu hóa</x:v>
      </x:c>
      <x:c r="C128" s="158" t="str">
        <x:v>Cập nhật domain glossary; context map; business rules; sequence diagrams; bổ sung sơ đồ hoặc bảng quyết định khi phù hợp.</x:v>
      </x:c>
      <x:c r="D128" s="245" t="n">
        <x:v>1.5</x:v>
      </x:c>
      <x:c r="E128" s="158" t="str">
        <x:f>"Trang 10 → lọc Tuần "&amp;A128</x:f>
        <x:v>Trang 10 → lọc Tuần 18</x:v>
      </x:c>
      <x:c r="F128" s="158" t="str">
        <x:v>Tài liệu/sơ đồ/báo cáo</x:v>
      </x:c>
      <x:c r="G128" s="158" t="str">
        <x:v>Có</x:v>
      </x:c>
      <x:c r="H128" s="158" t="str">
        <x:v>Chưa bắt đầu</x:v>
      </x:c>
      <x:c r="I128" s="245" t="n">
        <x:v>0</x:v>
      </x:c>
      <x:c r="J128" s="158" t="str"/>
      <x:c r="K128" s="158" t="str"/>
      <x:c r="L128" s="194" t="n">
        <x:f>IFERROR(MIN(I128/D128,1),0)</x:f>
        <x:v>0</x:v>
      </x:c>
    </x:row>
    <x:row r="129" ht="56" customHeight="1">
      <x:c r="A129" s="158" t="n">
        <x:v>18</x:v>
      </x:c>
      <x:c r="B129" s="158" t="str">
        <x:v>Tiếng Anh kỹ thuật</x:v>
      </x:c>
      <x:c r="C129" s="158" t="str">
        <x:v>Trình bày Nghiệp vụ tài khoản, số dư và sổ cái bằng tiếng Anh 5–10 phút; ghi âm và tự ghi ba lỗi cần sửa.</x:v>
      </x:c>
      <x:c r="D129" s="245" t="n">
        <x:v>1.5</x:v>
      </x:c>
      <x:c r="E129" s="158" t="str">
        <x:f>"Trang 10 → lọc Tuần "&amp;A129</x:f>
        <x:v>Trang 10 → lọc Tuần 18</x:v>
      </x:c>
      <x:c r="F129" s="158" t="str">
        <x:v>Bản ghi âm và danh sách lỗi</x:v>
      </x:c>
      <x:c r="G129" s="158" t="str">
        <x:v>Có</x:v>
      </x:c>
      <x:c r="H129" s="158" t="str">
        <x:v>Chưa bắt đầu</x:v>
      </x:c>
      <x:c r="I129" s="245" t="n">
        <x:v>0</x:v>
      </x:c>
      <x:c r="J129" s="158" t="str"/>
      <x:c r="K129" s="158" t="str"/>
      <x:c r="L129" s="194" t="n">
        <x:f>IFERROR(MIN(I129/D129,1),0)</x:f>
        <x:v>0</x:v>
      </x:c>
    </x:row>
    <x:row r="130" ht="56" customHeight="1">
      <x:c r="A130" s="158" t="n">
        <x:v>18</x:v>
      </x:c>
      <x:c r="B130" s="158" t="str">
        <x:v>Đánh giá tuần</x:v>
      </x:c>
      <x:c r="C130" s="158" t="str">
        <x:v>Tự kiểm tra 10 câu, đánh giá toàn bộ checklist tuần, chốt tồn đọng và kế hoạch sửa.</x:v>
      </x:c>
      <x:c r="D130" s="245" t="n">
        <x:v>2</x:v>
      </x:c>
      <x:c r="E130" s="158" t="str">
        <x:f>"Trang 10 → lọc Tuần "&amp;A130</x:f>
        <x:v>Trang 10 → lọc Tuần 18</x:v>
      </x:c>
      <x:c r="F130" s="158" t="str">
        <x:v>Điểm tự kiểm tra và retrospective</x:v>
      </x:c>
      <x:c r="G130" s="158" t="str">
        <x:v>Có</x:v>
      </x:c>
      <x:c r="H130" s="158" t="str">
        <x:v>Chưa bắt đầu</x:v>
      </x:c>
      <x:c r="I130" s="245" t="n">
        <x:v>0</x:v>
      </x:c>
      <x:c r="J130" s="158" t="str"/>
      <x:c r="K130" s="158" t="str"/>
      <x:c r="L130" s="194" t="n">
        <x:f>IFERROR(MIN(I130/D130,1),0)</x:f>
        <x:v>0</x:v>
      </x:c>
    </x:row>
    <x:row r="131" ht="56" customHeight="1">
      <x:c r="A131" s="158" t="n">
        <x:v>19</x:v>
      </x:c>
      <x:c r="B131" s="158" t="str">
        <x:v>Học trọng tâm</x:v>
      </x:c>
      <x:c r="C131" s="158" t="str">
        <x:v>Đọc tài liệu R30, R31, R32, R29; tập trung: Service boundary, threat model, data ownership, synchronous/asynchronous flow và deployment view. Ghi lại thuật ngữ, quy tắc và điểm chưa hiểu.</x:v>
      </x:c>
      <x:c r="D131" s="245" t="n">
        <x:v>2.5</x:v>
      </x:c>
      <x:c r="E131" s="158" t="str">
        <x:f>"Trang 10 → lọc Tuần "&amp;A131</x:f>
        <x:v>Trang 10 → lọc Tuần 19</x:v>
      </x:c>
      <x:c r="F131" s="158" t="str">
        <x:v>Ghi chú học tập và danh sách câu hỏi</x:v>
      </x:c>
      <x:c r="G131" s="158" t="str">
        <x:v>Có</x:v>
      </x:c>
      <x:c r="H131" s="158" t="str">
        <x:v>Chưa bắt đầu</x:v>
      </x:c>
      <x:c r="I131" s="245" t="n">
        <x:v>0</x:v>
      </x:c>
      <x:c r="J131" s="158" t="str"/>
      <x:c r="K131" s="158" t="str"/>
      <x:c r="L131" s="194" t="n">
        <x:f>IFERROR(MIN(I131/D131,1),0)</x:f>
        <x:v>0</x:v>
      </x:c>
    </x:row>
    <x:row r="132" ht="56" customHeight="1">
      <x:c r="A132" s="158" t="n">
        <x:v>19</x:v>
      </x:c>
      <x:c r="B132" s="158" t="str">
        <x:v>Ghi chú kiến thức</x:v>
      </x:c>
      <x:c r="C132" s="158" t="str">
        <x:v>Viết bản tóm tắt một trang về Kiến trúc dự án ngân hàng; nêu ít nhất hai lựa chọn kỹ thuật và trade-off.</x:v>
      </x:c>
      <x:c r="D132" s="245" t="n">
        <x:v>1.5</x:v>
      </x:c>
      <x:c r="E132" s="158" t="str">
        <x:f>"Trang 10 → lọc Tuần "&amp;A132</x:f>
        <x:v>Trang 10 → lọc Tuần 19</x:v>
      </x:c>
      <x:c r="F132" s="158" t="str">
        <x:v>Tóm tắt một trang/ADR ngắn</x:v>
      </x:c>
      <x:c r="G132" s="158" t="str">
        <x:v>Có</x:v>
      </x:c>
      <x:c r="H132" s="158" t="str">
        <x:v>Chưa bắt đầu</x:v>
      </x:c>
      <x:c r="I132" s="245" t="n">
        <x:v>0</x:v>
      </x:c>
      <x:c r="J132" s="158" t="str"/>
      <x:c r="K132" s="158" t="str"/>
      <x:c r="L132" s="194" t="n">
        <x:f>IFERROR(MIN(I132/D132,1),0)</x:f>
        <x:v>0</x:v>
      </x:c>
    </x:row>
    <x:row r="133" ht="56" customHeight="1">
      <x:c r="A133" s="158" t="n">
        <x:v>19</x:v>
      </x:c>
      <x:c r="B133" s="158" t="str">
        <x:v>Xây dựng</x:v>
      </x:c>
      <x:c r="C133" s="158" t="str">
        <x:v>Thực hiện mục tiêu: Khóa phạm vi dự án và kiến trúc đủ triển khai trong tám tuần. Chia commit nhỏ, thông điệp commit rõ ràng.</x:v>
      </x:c>
      <x:c r="D133" s="245" t="n">
        <x:v>4</x:v>
      </x:c>
      <x:c r="E133" s="158" t="str">
        <x:f>"Trang 10 → lọc Tuần "&amp;A133</x:f>
        <x:v>Trang 10 → lọc Tuần 19</x:v>
      </x:c>
      <x:c r="F133" s="158" t="str">
        <x:v>Mã nguồn hoặc cấu hình chạy được</x:v>
      </x:c>
      <x:c r="G133" s="158" t="str">
        <x:v>Có</x:v>
      </x:c>
      <x:c r="H133" s="158" t="str">
        <x:v>Chưa bắt đầu</x:v>
      </x:c>
      <x:c r="I133" s="245" t="n">
        <x:v>0</x:v>
      </x:c>
      <x:c r="J133" s="158" t="str"/>
      <x:c r="K133" s="158" t="str"/>
      <x:c r="L133" s="194" t="n">
        <x:f>IFERROR(MIN(I133/D133,1),0)</x:f>
        <x:v>0</x:v>
      </x:c>
    </x:row>
    <x:row r="134" ht="56" customHeight="1">
      <x:c r="A134" s="158" t="n">
        <x:v>19</x:v>
      </x:c>
      <x:c r="B134" s="158" t="str">
        <x:v>Kiểm thử</x:v>
      </x:c>
      <x:c r="C134" s="158" t="str">
        <x:v>Viết kiểm thử cho ba tiêu chí: Phạm vi có danh sách làm và không làm; Mỗi dữ liệu có dịch vụ sở hữu rõ ràng; Luồng đồng bộ và bất đồng bộ có lý do.</x:v>
      </x:c>
      <x:c r="D134" s="245" t="n">
        <x:v>2</x:v>
      </x:c>
      <x:c r="E134" s="158" t="str">
        <x:f>"Trang 10 → lọc Tuần "&amp;A134</x:f>
        <x:v>Trang 10 → lọc Tuần 19</x:v>
      </x:c>
      <x:c r="F134" s="158" t="str">
        <x:v>Bộ kiểm thử và kết quả chạy</x:v>
      </x:c>
      <x:c r="G134" s="158" t="str">
        <x:v>Có</x:v>
      </x:c>
      <x:c r="H134" s="158" t="str">
        <x:v>Chưa bắt đầu</x:v>
      </x:c>
      <x:c r="I134" s="245" t="n">
        <x:v>0</x:v>
      </x:c>
      <x:c r="J134" s="158" t="str"/>
      <x:c r="K134" s="158" t="str"/>
      <x:c r="L134" s="194" t="n">
        <x:f>IFERROR(MIN(I134/D134,1),0)</x:f>
        <x:v>0</x:v>
      </x:c>
    </x:row>
    <x:row r="135" ht="56" customHeight="1">
      <x:c r="A135" s="158" t="n">
        <x:v>19</x:v>
      </x:c>
      <x:c r="B135" s="158" t="str">
        <x:v>Tài liệu hóa</x:v>
      </x:c>
      <x:c r="C135" s="158" t="str">
        <x:v>Cập nhật C4 diagrams; ADR set; backlog; API contracts; bổ sung sơ đồ hoặc bảng quyết định khi phù hợp.</x:v>
      </x:c>
      <x:c r="D135" s="245" t="n">
        <x:v>1.5</x:v>
      </x:c>
      <x:c r="E135" s="158" t="str">
        <x:f>"Trang 10 → lọc Tuần "&amp;A135</x:f>
        <x:v>Trang 10 → lọc Tuần 19</x:v>
      </x:c>
      <x:c r="F135" s="158" t="str">
        <x:v>Tài liệu/sơ đồ/báo cáo</x:v>
      </x:c>
      <x:c r="G135" s="158" t="str">
        <x:v>Có</x:v>
      </x:c>
      <x:c r="H135" s="158" t="str">
        <x:v>Chưa bắt đầu</x:v>
      </x:c>
      <x:c r="I135" s="245" t="n">
        <x:v>0</x:v>
      </x:c>
      <x:c r="J135" s="158" t="str"/>
      <x:c r="K135" s="158" t="str"/>
      <x:c r="L135" s="194" t="n">
        <x:f>IFERROR(MIN(I135/D135,1),0)</x:f>
        <x:v>0</x:v>
      </x:c>
    </x:row>
    <x:row r="136" ht="56" customHeight="1">
      <x:c r="A136" s="158" t="n">
        <x:v>19</x:v>
      </x:c>
      <x:c r="B136" s="158" t="str">
        <x:v>Tiếng Anh kỹ thuật</x:v>
      </x:c>
      <x:c r="C136" s="158" t="str">
        <x:v>Trình bày Kiến trúc dự án ngân hàng bằng tiếng Anh 5–10 phút; ghi âm và tự ghi ba lỗi cần sửa.</x:v>
      </x:c>
      <x:c r="D136" s="245" t="n">
        <x:v>1.5</x:v>
      </x:c>
      <x:c r="E136" s="158" t="str">
        <x:f>"Trang 10 → lọc Tuần "&amp;A136</x:f>
        <x:v>Trang 10 → lọc Tuần 19</x:v>
      </x:c>
      <x:c r="F136" s="158" t="str">
        <x:v>Bản ghi âm và danh sách lỗi</x:v>
      </x:c>
      <x:c r="G136" s="158" t="str">
        <x:v>Có</x:v>
      </x:c>
      <x:c r="H136" s="158" t="str">
        <x:v>Chưa bắt đầu</x:v>
      </x:c>
      <x:c r="I136" s="245" t="n">
        <x:v>0</x:v>
      </x:c>
      <x:c r="J136" s="158" t="str"/>
      <x:c r="K136" s="158" t="str"/>
      <x:c r="L136" s="194" t="n">
        <x:f>IFERROR(MIN(I136/D136,1),0)</x:f>
        <x:v>0</x:v>
      </x:c>
    </x:row>
    <x:row r="137" ht="56" customHeight="1">
      <x:c r="A137" s="158" t="n">
        <x:v>19</x:v>
      </x:c>
      <x:c r="B137" s="158" t="str">
        <x:v>Đánh giá tuần</x:v>
      </x:c>
      <x:c r="C137" s="158" t="str">
        <x:v>Tự kiểm tra 10 câu, đánh giá toàn bộ checklist tuần, chốt tồn đọng và kế hoạch sửa.</x:v>
      </x:c>
      <x:c r="D137" s="245" t="n">
        <x:v>2</x:v>
      </x:c>
      <x:c r="E137" s="158" t="str">
        <x:f>"Trang 10 → lọc Tuần "&amp;A137</x:f>
        <x:v>Trang 10 → lọc Tuần 19</x:v>
      </x:c>
      <x:c r="F137" s="158" t="str">
        <x:v>Điểm tự kiểm tra và retrospective</x:v>
      </x:c>
      <x:c r="G137" s="158" t="str">
        <x:v>Có</x:v>
      </x:c>
      <x:c r="H137" s="158" t="str">
        <x:v>Chưa bắt đầu</x:v>
      </x:c>
      <x:c r="I137" s="245" t="n">
        <x:v>0</x:v>
      </x:c>
      <x:c r="J137" s="158" t="str"/>
      <x:c r="K137" s="158" t="str"/>
      <x:c r="L137" s="194" t="n">
        <x:f>IFERROR(MIN(I137/D137,1),0)</x:f>
        <x:v>0</x:v>
      </x:c>
    </x:row>
    <x:row r="138" ht="56" customHeight="1">
      <x:c r="A138" s="158" t="n">
        <x:v>20</x:v>
      </x:c>
      <x:c r="B138" s="158" t="str">
        <x:v>Học trọng tâm</x:v>
      </x:c>
      <x:c r="C138" s="158" t="str">
        <x:v>Đọc tài liệu R04, R06, R29, R36; tập trung: Customer onboarding, account lifecycle, validation, API contract và audit fields. Ghi lại thuật ngữ, quy tắc và điểm chưa hiểu.</x:v>
      </x:c>
      <x:c r="D138" s="245" t="n">
        <x:v>2.5</x:v>
      </x:c>
      <x:c r="E138" s="158" t="str">
        <x:f>"Trang 10 → lọc Tuần "&amp;A138</x:f>
        <x:v>Trang 10 → lọc Tuần 20</x:v>
      </x:c>
      <x:c r="F138" s="158" t="str">
        <x:v>Ghi chú học tập và danh sách câu hỏi</x:v>
      </x:c>
      <x:c r="G138" s="158" t="str">
        <x:v>Có</x:v>
      </x:c>
      <x:c r="H138" s="158" t="str">
        <x:v>Chưa bắt đầu</x:v>
      </x:c>
      <x:c r="I138" s="245" t="n">
        <x:v>0</x:v>
      </x:c>
      <x:c r="J138" s="158" t="str"/>
      <x:c r="K138" s="158" t="str"/>
      <x:c r="L138" s="194" t="n">
        <x:f>IFERROR(MIN(I138/D138,1),0)</x:f>
        <x:v>0</x:v>
      </x:c>
    </x:row>
    <x:row r="139" ht="56" customHeight="1">
      <x:c r="A139" s="158" t="n">
        <x:v>20</x:v>
      </x:c>
      <x:c r="B139" s="158" t="str">
        <x:v>Ghi chú kiến thức</x:v>
      </x:c>
      <x:c r="C139" s="158" t="str">
        <x:v>Viết bản tóm tắt một trang về Khách hàng và tài khoản; nêu ít nhất hai lựa chọn kỹ thuật và trade-off.</x:v>
      </x:c>
      <x:c r="D139" s="245" t="n">
        <x:v>1.5</x:v>
      </x:c>
      <x:c r="E139" s="158" t="str">
        <x:f>"Trang 10 → lọc Tuần "&amp;A139</x:f>
        <x:v>Trang 10 → lọc Tuần 20</x:v>
      </x:c>
      <x:c r="F139" s="158" t="str">
        <x:v>Tóm tắt một trang/ADR ngắn</x:v>
      </x:c>
      <x:c r="G139" s="158" t="str">
        <x:v>Có</x:v>
      </x:c>
      <x:c r="H139" s="158" t="str">
        <x:v>Chưa bắt đầu</x:v>
      </x:c>
      <x:c r="I139" s="245" t="n">
        <x:v>0</x:v>
      </x:c>
      <x:c r="J139" s="158" t="str"/>
      <x:c r="K139" s="158" t="str"/>
      <x:c r="L139" s="194" t="n">
        <x:f>IFERROR(MIN(I139/D139,1),0)</x:f>
        <x:v>0</x:v>
      </x:c>
    </x:row>
    <x:row r="140" ht="56" customHeight="1">
      <x:c r="A140" s="158" t="n">
        <x:v>20</x:v>
      </x:c>
      <x:c r="B140" s="158" t="str">
        <x:v>Xây dựng</x:v>
      </x:c>
      <x:c r="C140" s="158" t="str">
        <x:v>Thực hiện mục tiêu: Hoàn thành module khách hàng–tài khoản với API, dữ liệu và kiểm thử. Chia commit nhỏ, thông điệp commit rõ ràng.</x:v>
      </x:c>
      <x:c r="D140" s="245" t="n">
        <x:v>4</x:v>
      </x:c>
      <x:c r="E140" s="158" t="str">
        <x:f>"Trang 10 → lọc Tuần "&amp;A140</x:f>
        <x:v>Trang 10 → lọc Tuần 20</x:v>
      </x:c>
      <x:c r="F140" s="158" t="str">
        <x:v>Mã nguồn hoặc cấu hình chạy được</x:v>
      </x:c>
      <x:c r="G140" s="158" t="str">
        <x:v>Có</x:v>
      </x:c>
      <x:c r="H140" s="158" t="str">
        <x:v>Chưa bắt đầu</x:v>
      </x:c>
      <x:c r="I140" s="245" t="n">
        <x:v>0</x:v>
      </x:c>
      <x:c r="J140" s="158" t="str"/>
      <x:c r="K140" s="158" t="str"/>
      <x:c r="L140" s="194" t="n">
        <x:f>IFERROR(MIN(I140/D140,1),0)</x:f>
        <x:v>0</x:v>
      </x:c>
    </x:row>
    <x:row r="141" ht="56" customHeight="1">
      <x:c r="A141" s="158" t="n">
        <x:v>20</x:v>
      </x:c>
      <x:c r="B141" s="158" t="str">
        <x:v>Kiểm thử</x:v>
      </x:c>
      <x:c r="C141" s="158" t="str">
        <x:v>Viết kiểm thử cho ba tiêu chí: Trạng thái tài khoản có chuyển đổi hợp lệ; Không tạo trùng định danh khách hàng theo quy tắc; Migration có thể chạy từ database rỗng.</x:v>
      </x:c>
      <x:c r="D141" s="245" t="n">
        <x:v>2</x:v>
      </x:c>
      <x:c r="E141" s="158" t="str">
        <x:f>"Trang 10 → lọc Tuần "&amp;A141</x:f>
        <x:v>Trang 10 → lọc Tuần 20</x:v>
      </x:c>
      <x:c r="F141" s="158" t="str">
        <x:v>Bộ kiểm thử và kết quả chạy</x:v>
      </x:c>
      <x:c r="G141" s="158" t="str">
        <x:v>Có</x:v>
      </x:c>
      <x:c r="H141" s="158" t="str">
        <x:v>Chưa bắt đầu</x:v>
      </x:c>
      <x:c r="I141" s="245" t="n">
        <x:v>0</x:v>
      </x:c>
      <x:c r="J141" s="158" t="str"/>
      <x:c r="K141" s="158" t="str"/>
      <x:c r="L141" s="194" t="n">
        <x:f>IFERROR(MIN(I141/D141,1),0)</x:f>
        <x:v>0</x:v>
      </x:c>
    </x:row>
    <x:row r="142" ht="56" customHeight="1">
      <x:c r="A142" s="158" t="n">
        <x:v>20</x:v>
      </x:c>
      <x:c r="B142" s="158" t="str">
        <x:v>Tài liệu hóa</x:v>
      </x:c>
      <x:c r="C142" s="158" t="str">
        <x:v>Cập nhật customer/account module; migration scripts; OpenAPI; tests; bổ sung sơ đồ hoặc bảng quyết định khi phù hợp.</x:v>
      </x:c>
      <x:c r="D142" s="245" t="n">
        <x:v>1.5</x:v>
      </x:c>
      <x:c r="E142" s="158" t="str">
        <x:f>"Trang 10 → lọc Tuần "&amp;A142</x:f>
        <x:v>Trang 10 → lọc Tuần 20</x:v>
      </x:c>
      <x:c r="F142" s="158" t="str">
        <x:v>Tài liệu/sơ đồ/báo cáo</x:v>
      </x:c>
      <x:c r="G142" s="158" t="str">
        <x:v>Có</x:v>
      </x:c>
      <x:c r="H142" s="158" t="str">
        <x:v>Chưa bắt đầu</x:v>
      </x:c>
      <x:c r="I142" s="245" t="n">
        <x:v>0</x:v>
      </x:c>
      <x:c r="J142" s="158" t="str"/>
      <x:c r="K142" s="158" t="str"/>
      <x:c r="L142" s="194" t="n">
        <x:f>IFERROR(MIN(I142/D142,1),0)</x:f>
        <x:v>0</x:v>
      </x:c>
    </x:row>
    <x:row r="143" ht="56" customHeight="1">
      <x:c r="A143" s="158" t="n">
        <x:v>20</x:v>
      </x:c>
      <x:c r="B143" s="158" t="str">
        <x:v>Tiếng Anh kỹ thuật</x:v>
      </x:c>
      <x:c r="C143" s="158" t="str">
        <x:v>Trình bày Khách hàng và tài khoản bằng tiếng Anh 5–10 phút; ghi âm và tự ghi ba lỗi cần sửa.</x:v>
      </x:c>
      <x:c r="D143" s="245" t="n">
        <x:v>1.5</x:v>
      </x:c>
      <x:c r="E143" s="158" t="str">
        <x:f>"Trang 10 → lọc Tuần "&amp;A143</x:f>
        <x:v>Trang 10 → lọc Tuần 20</x:v>
      </x:c>
      <x:c r="F143" s="158" t="str">
        <x:v>Bản ghi âm và danh sách lỗi</x:v>
      </x:c>
      <x:c r="G143" s="158" t="str">
        <x:v>Có</x:v>
      </x:c>
      <x:c r="H143" s="158" t="str">
        <x:v>Chưa bắt đầu</x:v>
      </x:c>
      <x:c r="I143" s="245" t="n">
        <x:v>0</x:v>
      </x:c>
      <x:c r="J143" s="158" t="str"/>
      <x:c r="K143" s="158" t="str"/>
      <x:c r="L143" s="194" t="n">
        <x:f>IFERROR(MIN(I143/D143,1),0)</x:f>
        <x:v>0</x:v>
      </x:c>
    </x:row>
    <x:row r="144" ht="56" customHeight="1">
      <x:c r="A144" s="158" t="n">
        <x:v>20</x:v>
      </x:c>
      <x:c r="B144" s="158" t="str">
        <x:v>Đánh giá tuần</x:v>
      </x:c>
      <x:c r="C144" s="158" t="str">
        <x:v>Tự kiểm tra 10 câu, đánh giá toàn bộ checklist tuần, chốt tồn đọng và kế hoạch sửa.</x:v>
      </x:c>
      <x:c r="D144" s="245" t="n">
        <x:v>2</x:v>
      </x:c>
      <x:c r="E144" s="158" t="str">
        <x:f>"Trang 10 → lọc Tuần "&amp;A144</x:f>
        <x:v>Trang 10 → lọc Tuần 20</x:v>
      </x:c>
      <x:c r="F144" s="158" t="str">
        <x:v>Điểm tự kiểm tra và retrospective</x:v>
      </x:c>
      <x:c r="G144" s="158" t="str">
        <x:v>Có</x:v>
      </x:c>
      <x:c r="H144" s="158" t="str">
        <x:v>Chưa bắt đầu</x:v>
      </x:c>
      <x:c r="I144" s="245" t="n">
        <x:v>0</x:v>
      </x:c>
      <x:c r="J144" s="158" t="str"/>
      <x:c r="K144" s="158" t="str"/>
      <x:c r="L144" s="194" t="n">
        <x:f>IFERROR(MIN(I144/D144,1),0)</x:f>
        <x:v>0</x:v>
      </x:c>
    </x:row>
    <x:row r="145" ht="56" customHeight="1">
      <x:c r="A145" s="158" t="n">
        <x:v>21</x:v>
      </x:c>
      <x:c r="B145" s="158" t="str">
        <x:v>Học trọng tâm</x:v>
      </x:c>
      <x:c r="C145" s="158" t="str">
        <x:v>Đọc tài liệu R26, R27, R37; tập trung: Debit/credit, balanced transaction, immutable entry, reversal và balance derivation. Ghi lại thuật ngữ, quy tắc và điểm chưa hiểu.</x:v>
      </x:c>
      <x:c r="D145" s="245" t="n">
        <x:v>2.5</x:v>
      </x:c>
      <x:c r="E145" s="158" t="str">
        <x:f>"Trang 10 → lọc Tuần "&amp;A145</x:f>
        <x:v>Trang 10 → lọc Tuần 21</x:v>
      </x:c>
      <x:c r="F145" s="158" t="str">
        <x:v>Ghi chú học tập và danh sách câu hỏi</x:v>
      </x:c>
      <x:c r="G145" s="158" t="str">
        <x:v>Có</x:v>
      </x:c>
      <x:c r="H145" s="158" t="str">
        <x:v>Chưa bắt đầu</x:v>
      </x:c>
      <x:c r="I145" s="245" t="n">
        <x:v>0</x:v>
      </x:c>
      <x:c r="J145" s="158" t="str"/>
      <x:c r="K145" s="158" t="str"/>
      <x:c r="L145" s="194" t="n">
        <x:f>IFERROR(MIN(I145/D145,1),0)</x:f>
        <x:v>0</x:v>
      </x:c>
    </x:row>
    <x:row r="146" ht="56" customHeight="1">
      <x:c r="A146" s="158" t="n">
        <x:v>21</x:v>
      </x:c>
      <x:c r="B146" s="158" t="str">
        <x:v>Ghi chú kiến thức</x:v>
      </x:c>
      <x:c r="C146" s="158" t="str">
        <x:v>Viết bản tóm tắt một trang về Sổ cái kép và tính bất biến; nêu ít nhất hai lựa chọn kỹ thuật và trade-off.</x:v>
      </x:c>
      <x:c r="D146" s="245" t="n">
        <x:v>1.5</x:v>
      </x:c>
      <x:c r="E146" s="158" t="str">
        <x:f>"Trang 10 → lọc Tuần "&amp;A146</x:f>
        <x:v>Trang 10 → lọc Tuần 21</x:v>
      </x:c>
      <x:c r="F146" s="158" t="str">
        <x:v>Tóm tắt một trang/ADR ngắn</x:v>
      </x:c>
      <x:c r="G146" s="158" t="str">
        <x:v>Có</x:v>
      </x:c>
      <x:c r="H146" s="158" t="str">
        <x:v>Chưa bắt đầu</x:v>
      </x:c>
      <x:c r="I146" s="245" t="n">
        <x:v>0</x:v>
      </x:c>
      <x:c r="J146" s="158" t="str"/>
      <x:c r="K146" s="158" t="str"/>
      <x:c r="L146" s="194" t="n">
        <x:f>IFERROR(MIN(I146/D146,1),0)</x:f>
        <x:v>0</x:v>
      </x:c>
    </x:row>
    <x:row r="147" ht="56" customHeight="1">
      <x:c r="A147" s="158" t="n">
        <x:v>21</x:v>
      </x:c>
      <x:c r="B147" s="158" t="str">
        <x:v>Xây dựng</x:v>
      </x:c>
      <x:c r="C147" s="158" t="str">
        <x:v>Thực hiện mục tiêu: Ghi sổ kép bảo đảm tổng ghi nợ bằng tổng ghi có. Chia commit nhỏ, thông điệp commit rõ ràng.</x:v>
      </x:c>
      <x:c r="D147" s="245" t="n">
        <x:v>4</x:v>
      </x:c>
      <x:c r="E147" s="158" t="str">
        <x:f>"Trang 10 → lọc Tuần "&amp;A147</x:f>
        <x:v>Trang 10 → lọc Tuần 21</x:v>
      </x:c>
      <x:c r="F147" s="158" t="str">
        <x:v>Mã nguồn hoặc cấu hình chạy được</x:v>
      </x:c>
      <x:c r="G147" s="158" t="str">
        <x:v>Có</x:v>
      </x:c>
      <x:c r="H147" s="158" t="str">
        <x:v>Chưa bắt đầu</x:v>
      </x:c>
      <x:c r="I147" s="245" t="n">
        <x:v>0</x:v>
      </x:c>
      <x:c r="J147" s="158" t="str"/>
      <x:c r="K147" s="158" t="str"/>
      <x:c r="L147" s="194" t="n">
        <x:f>IFERROR(MIN(I147/D147,1),0)</x:f>
        <x:v>0</x:v>
      </x:c>
    </x:row>
    <x:row r="148" ht="56" customHeight="1">
      <x:c r="A148" s="158" t="n">
        <x:v>21</x:v>
      </x:c>
      <x:c r="B148" s="158" t="str">
        <x:v>Kiểm thử</x:v>
      </x:c>
      <x:c r="C148" s="158" t="str">
        <x:v>Viết kiểm thử cho ba tiêu chí: Mỗi giao dịch có ít nhất một debit và một credit; Tổng debit luôn bằng tổng credit; Entry đã ghi không bị sửa hoặc xóa.</x:v>
      </x:c>
      <x:c r="D148" s="245" t="n">
        <x:v>2</x:v>
      </x:c>
      <x:c r="E148" s="158" t="str">
        <x:f>"Trang 10 → lọc Tuần "&amp;A148</x:f>
        <x:v>Trang 10 → lọc Tuần 21</x:v>
      </x:c>
      <x:c r="F148" s="158" t="str">
        <x:v>Bộ kiểm thử và kết quả chạy</x:v>
      </x:c>
      <x:c r="G148" s="158" t="str">
        <x:v>Có</x:v>
      </x:c>
      <x:c r="H148" s="158" t="str">
        <x:v>Chưa bắt đầu</x:v>
      </x:c>
      <x:c r="I148" s="245" t="n">
        <x:v>0</x:v>
      </x:c>
      <x:c r="J148" s="158" t="str"/>
      <x:c r="K148" s="158" t="str"/>
      <x:c r="L148" s="194" t="n">
        <x:f>IFERROR(MIN(I148/D148,1),0)</x:f>
        <x:v>0</x:v>
      </x:c>
    </x:row>
    <x:row r="149" ht="56" customHeight="1">
      <x:c r="A149" s="158" t="n">
        <x:v>21</x:v>
      </x:c>
      <x:c r="B149" s="158" t="str">
        <x:v>Tài liệu hóa</x:v>
      </x:c>
      <x:c r="C149" s="158" t="str">
        <x:v>Cập nhật ledger module; reversal flow; invariant tests; ADR; bổ sung sơ đồ hoặc bảng quyết định khi phù hợp.</x:v>
      </x:c>
      <x:c r="D149" s="245" t="n">
        <x:v>1.5</x:v>
      </x:c>
      <x:c r="E149" s="158" t="str">
        <x:f>"Trang 10 → lọc Tuần "&amp;A149</x:f>
        <x:v>Trang 10 → lọc Tuần 21</x:v>
      </x:c>
      <x:c r="F149" s="158" t="str">
        <x:v>Tài liệu/sơ đồ/báo cáo</x:v>
      </x:c>
      <x:c r="G149" s="158" t="str">
        <x:v>Có</x:v>
      </x:c>
      <x:c r="H149" s="158" t="str">
        <x:v>Chưa bắt đầu</x:v>
      </x:c>
      <x:c r="I149" s="245" t="n">
        <x:v>0</x:v>
      </x:c>
      <x:c r="J149" s="158" t="str"/>
      <x:c r="K149" s="158" t="str"/>
      <x:c r="L149" s="194" t="n">
        <x:f>IFERROR(MIN(I149/D149,1),0)</x:f>
        <x:v>0</x:v>
      </x:c>
    </x:row>
    <x:row r="150" ht="56" customHeight="1">
      <x:c r="A150" s="158" t="n">
        <x:v>21</x:v>
      </x:c>
      <x:c r="B150" s="158" t="str">
        <x:v>Tiếng Anh kỹ thuật</x:v>
      </x:c>
      <x:c r="C150" s="158" t="str">
        <x:v>Trình bày Sổ cái kép và tính bất biến bằng tiếng Anh 5–10 phút; ghi âm và tự ghi ba lỗi cần sửa.</x:v>
      </x:c>
      <x:c r="D150" s="245" t="n">
        <x:v>1.5</x:v>
      </x:c>
      <x:c r="E150" s="158" t="str">
        <x:f>"Trang 10 → lọc Tuần "&amp;A150</x:f>
        <x:v>Trang 10 → lọc Tuần 21</x:v>
      </x:c>
      <x:c r="F150" s="158" t="str">
        <x:v>Bản ghi âm và danh sách lỗi</x:v>
      </x:c>
      <x:c r="G150" s="158" t="str">
        <x:v>Có</x:v>
      </x:c>
      <x:c r="H150" s="158" t="str">
        <x:v>Chưa bắt đầu</x:v>
      </x:c>
      <x:c r="I150" s="245" t="n">
        <x:v>0</x:v>
      </x:c>
      <x:c r="J150" s="158" t="str"/>
      <x:c r="K150" s="158" t="str"/>
      <x:c r="L150" s="194" t="n">
        <x:f>IFERROR(MIN(I150/D150,1),0)</x:f>
        <x:v>0</x:v>
      </x:c>
    </x:row>
    <x:row r="151" ht="56" customHeight="1">
      <x:c r="A151" s="158" t="n">
        <x:v>21</x:v>
      </x:c>
      <x:c r="B151" s="158" t="str">
        <x:v>Đánh giá tuần</x:v>
      </x:c>
      <x:c r="C151" s="158" t="str">
        <x:v>Tự kiểm tra 10 câu, đánh giá toàn bộ checklist tuần, chốt tồn đọng và kế hoạch sửa.</x:v>
      </x:c>
      <x:c r="D151" s="245" t="n">
        <x:v>2</x:v>
      </x:c>
      <x:c r="E151" s="158" t="str">
        <x:f>"Trang 10 → lọc Tuần "&amp;A151</x:f>
        <x:v>Trang 10 → lọc Tuần 21</x:v>
      </x:c>
      <x:c r="F151" s="158" t="str">
        <x:v>Điểm tự kiểm tra và retrospective</x:v>
      </x:c>
      <x:c r="G151" s="158" t="str">
        <x:v>Có</x:v>
      </x:c>
      <x:c r="H151" s="158" t="str">
        <x:v>Chưa bắt đầu</x:v>
      </x:c>
      <x:c r="I151" s="245" t="n">
        <x:v>0</x:v>
      </x:c>
      <x:c r="J151" s="158" t="str"/>
      <x:c r="K151" s="158" t="str"/>
      <x:c r="L151" s="194" t="n">
        <x:f>IFERROR(MIN(I151/D151,1),0)</x:f>
        <x:v>0</x:v>
      </x:c>
    </x:row>
    <x:row r="152" ht="56" customHeight="1">
      <x:c r="A152" s="158" t="n">
        <x:v>22</x:v>
      </x:c>
      <x:c r="B152" s="158" t="str">
        <x:v>Học trọng tâm</x:v>
      </x:c>
      <x:c r="C152" s="158" t="str">
        <x:v>Đọc tài liệu R06, R37, R10; tập trung: Transfer lifecycle, idempotency, optimistic/pessimistic locking, insufficient funds và concurrency testing. Ghi lại thuật ngữ, quy tắc và điểm chưa hiểu.</x:v>
      </x:c>
      <x:c r="D152" s="245" t="n">
        <x:v>2.5</x:v>
      </x:c>
      <x:c r="E152" s="158" t="str">
        <x:f>"Trang 10 → lọc Tuần "&amp;A152</x:f>
        <x:v>Trang 10 → lọc Tuần 22</x:v>
      </x:c>
      <x:c r="F152" s="158" t="str">
        <x:v>Ghi chú học tập và danh sách câu hỏi</x:v>
      </x:c>
      <x:c r="G152" s="158" t="str">
        <x:v>Có</x:v>
      </x:c>
      <x:c r="H152" s="158" t="str">
        <x:v>Chưa bắt đầu</x:v>
      </x:c>
      <x:c r="I152" s="245" t="n">
        <x:v>0</x:v>
      </x:c>
      <x:c r="J152" s="158" t="str"/>
      <x:c r="K152" s="158" t="str"/>
      <x:c r="L152" s="194" t="n">
        <x:f>IFERROR(MIN(I152/D152,1),0)</x:f>
        <x:v>0</x:v>
      </x:c>
    </x:row>
    <x:row r="153" ht="56" customHeight="1">
      <x:c r="A153" s="158" t="n">
        <x:v>22</x:v>
      </x:c>
      <x:c r="B153" s="158" t="str">
        <x:v>Ghi chú kiến thức</x:v>
      </x:c>
      <x:c r="C153" s="158" t="str">
        <x:v>Viết bản tóm tắt một trang về Chuyển tiền, khóa và chống chi tiêu hai lần; nêu ít nhất hai lựa chọn kỹ thuật và trade-off.</x:v>
      </x:c>
      <x:c r="D153" s="245" t="n">
        <x:v>1.5</x:v>
      </x:c>
      <x:c r="E153" s="158" t="str">
        <x:f>"Trang 10 → lọc Tuần "&amp;A153</x:f>
        <x:v>Trang 10 → lọc Tuần 22</x:v>
      </x:c>
      <x:c r="F153" s="158" t="str">
        <x:v>Tóm tắt một trang/ADR ngắn</x:v>
      </x:c>
      <x:c r="G153" s="158" t="str">
        <x:v>Có</x:v>
      </x:c>
      <x:c r="H153" s="158" t="str">
        <x:v>Chưa bắt đầu</x:v>
      </x:c>
      <x:c r="I153" s="245" t="n">
        <x:v>0</x:v>
      </x:c>
      <x:c r="J153" s="158" t="str"/>
      <x:c r="K153" s="158" t="str"/>
      <x:c r="L153" s="194" t="n">
        <x:f>IFERROR(MIN(I153/D153,1),0)</x:f>
        <x:v>0</x:v>
      </x:c>
    </x:row>
    <x:row r="154" ht="56" customHeight="1">
      <x:c r="A154" s="158" t="n">
        <x:v>22</x:v>
      </x:c>
      <x:c r="B154" s="158" t="str">
        <x:v>Xây dựng</x:v>
      </x:c>
      <x:c r="C154" s="158" t="str">
        <x:v>Thực hiện mục tiêu: Xử lý 100 yêu cầu đồng thời mà không tạo số dư âm hoặc giao dịch trùng. Chia commit nhỏ, thông điệp commit rõ ràng.</x:v>
      </x:c>
      <x:c r="D154" s="245" t="n">
        <x:v>4</x:v>
      </x:c>
      <x:c r="E154" s="158" t="str">
        <x:f>"Trang 10 → lọc Tuần "&amp;A154</x:f>
        <x:v>Trang 10 → lọc Tuần 22</x:v>
      </x:c>
      <x:c r="F154" s="158" t="str">
        <x:v>Mã nguồn hoặc cấu hình chạy được</x:v>
      </x:c>
      <x:c r="G154" s="158" t="str">
        <x:v>Có</x:v>
      </x:c>
      <x:c r="H154" s="158" t="str">
        <x:v>Chưa bắt đầu</x:v>
      </x:c>
      <x:c r="I154" s="245" t="n">
        <x:v>0</x:v>
      </x:c>
      <x:c r="J154" s="158" t="str"/>
      <x:c r="K154" s="158" t="str"/>
      <x:c r="L154" s="194" t="n">
        <x:f>IFERROR(MIN(I154/D154,1),0)</x:f>
        <x:v>0</x:v>
      </x:c>
    </x:row>
    <x:row r="155" ht="56" customHeight="1">
      <x:c r="A155" s="158" t="n">
        <x:v>22</x:v>
      </x:c>
      <x:c r="B155" s="158" t="str">
        <x:v>Kiểm thử</x:v>
      </x:c>
      <x:c r="C155" s="158" t="str">
        <x:v>Viết kiểm thử cho ba tiêu chí: Cùng idempotency key chỉ tạo một kết quả; Không có số dư âm ngoài quy tắc cho phép; Khóa được lấy theo thứ tự ổn định để giảm deadlock.</x:v>
      </x:c>
      <x:c r="D155" s="245" t="n">
        <x:v>2</x:v>
      </x:c>
      <x:c r="E155" s="158" t="str">
        <x:f>"Trang 10 → lọc Tuần "&amp;A155</x:f>
        <x:v>Trang 10 → lọc Tuần 22</x:v>
      </x:c>
      <x:c r="F155" s="158" t="str">
        <x:v>Bộ kiểm thử và kết quả chạy</x:v>
      </x:c>
      <x:c r="G155" s="158" t="str">
        <x:v>Có</x:v>
      </x:c>
      <x:c r="H155" s="158" t="str">
        <x:v>Chưa bắt đầu</x:v>
      </x:c>
      <x:c r="I155" s="245" t="n">
        <x:v>0</x:v>
      </x:c>
      <x:c r="J155" s="158" t="str"/>
      <x:c r="K155" s="158" t="str"/>
      <x:c r="L155" s="194" t="n">
        <x:f>IFERROR(MIN(I155/D155,1),0)</x:f>
        <x:v>0</x:v>
      </x:c>
    </x:row>
    <x:row r="156" ht="56" customHeight="1">
      <x:c r="A156" s="158" t="n">
        <x:v>22</x:v>
      </x:c>
      <x:c r="B156" s="158" t="str">
        <x:v>Tài liệu hóa</x:v>
      </x:c>
      <x:c r="C156" s="158" t="str">
        <x:v>Cập nhật transfer module; concurrency test; locking decision report; bổ sung sơ đồ hoặc bảng quyết định khi phù hợp.</x:v>
      </x:c>
      <x:c r="D156" s="245" t="n">
        <x:v>1.5</x:v>
      </x:c>
      <x:c r="E156" s="158" t="str">
        <x:f>"Trang 10 → lọc Tuần "&amp;A156</x:f>
        <x:v>Trang 10 → lọc Tuần 22</x:v>
      </x:c>
      <x:c r="F156" s="158" t="str">
        <x:v>Tài liệu/sơ đồ/báo cáo</x:v>
      </x:c>
      <x:c r="G156" s="158" t="str">
        <x:v>Có</x:v>
      </x:c>
      <x:c r="H156" s="158" t="str">
        <x:v>Chưa bắt đầu</x:v>
      </x:c>
      <x:c r="I156" s="245" t="n">
        <x:v>0</x:v>
      </x:c>
      <x:c r="J156" s="158" t="str"/>
      <x:c r="K156" s="158" t="str"/>
      <x:c r="L156" s="194" t="n">
        <x:f>IFERROR(MIN(I156/D156,1),0)</x:f>
        <x:v>0</x:v>
      </x:c>
    </x:row>
    <x:row r="157" ht="56" customHeight="1">
      <x:c r="A157" s="158" t="n">
        <x:v>22</x:v>
      </x:c>
      <x:c r="B157" s="158" t="str">
        <x:v>Tiếng Anh kỹ thuật</x:v>
      </x:c>
      <x:c r="C157" s="158" t="str">
        <x:v>Trình bày Chuyển tiền, khóa và chống chi tiêu hai lần bằng tiếng Anh 5–10 phút; ghi âm và tự ghi ba lỗi cần sửa.</x:v>
      </x:c>
      <x:c r="D157" s="245" t="n">
        <x:v>1.5</x:v>
      </x:c>
      <x:c r="E157" s="158" t="str">
        <x:f>"Trang 10 → lọc Tuần "&amp;A157</x:f>
        <x:v>Trang 10 → lọc Tuần 22</x:v>
      </x:c>
      <x:c r="F157" s="158" t="str">
        <x:v>Bản ghi âm và danh sách lỗi</x:v>
      </x:c>
      <x:c r="G157" s="158" t="str">
        <x:v>Có</x:v>
      </x:c>
      <x:c r="H157" s="158" t="str">
        <x:v>Chưa bắt đầu</x:v>
      </x:c>
      <x:c r="I157" s="245" t="n">
        <x:v>0</x:v>
      </x:c>
      <x:c r="J157" s="158" t="str"/>
      <x:c r="K157" s="158" t="str"/>
      <x:c r="L157" s="194" t="n">
        <x:f>IFERROR(MIN(I157/D157,1),0)</x:f>
        <x:v>0</x:v>
      </x:c>
    </x:row>
    <x:row r="158" ht="56" customHeight="1">
      <x:c r="A158" s="158" t="n">
        <x:v>22</x:v>
      </x:c>
      <x:c r="B158" s="158" t="str">
        <x:v>Đánh giá tuần</x:v>
      </x:c>
      <x:c r="C158" s="158" t="str">
        <x:v>Tự kiểm tra 10 câu, đánh giá toàn bộ checklist tuần, chốt tồn đọng và kế hoạch sửa.</x:v>
      </x:c>
      <x:c r="D158" s="245" t="n">
        <x:v>2</x:v>
      </x:c>
      <x:c r="E158" s="158" t="str">
        <x:f>"Trang 10 → lọc Tuần "&amp;A158</x:f>
        <x:v>Trang 10 → lọc Tuần 22</x:v>
      </x:c>
      <x:c r="F158" s="158" t="str">
        <x:v>Điểm tự kiểm tra và retrospective</x:v>
      </x:c>
      <x:c r="G158" s="158" t="str">
        <x:v>Có</x:v>
      </x:c>
      <x:c r="H158" s="158" t="str">
        <x:v>Chưa bắt đầu</x:v>
      </x:c>
      <x:c r="I158" s="245" t="n">
        <x:v>0</x:v>
      </x:c>
      <x:c r="J158" s="158" t="str"/>
      <x:c r="K158" s="158" t="str"/>
      <x:c r="L158" s="194" t="n">
        <x:f>IFERROR(MIN(I158/D158,1),0)</x:f>
        <x:v>0</x:v>
      </x:c>
    </x:row>
    <x:row r="159" ht="56" customHeight="1">
      <x:c r="A159" s="158" t="n">
        <x:v>23</x:v>
      </x:c>
      <x:c r="B159" s="158" t="str">
        <x:v>Học trọng tâm</x:v>
      </x:c>
      <x:c r="C159" s="158" t="str">
        <x:v>Đọc tài liệu R19, R20, R10; tập trung: TransactionCreated/Completed/Failed events, outbox polling, idempotent consumer và replay. Ghi lại thuật ngữ, quy tắc và điểm chưa hiểu.</x:v>
      </x:c>
      <x:c r="D159" s="245" t="n">
        <x:v>2.5</x:v>
      </x:c>
      <x:c r="E159" s="158" t="str">
        <x:f>"Trang 10 → lọc Tuần "&amp;A159</x:f>
        <x:v>Trang 10 → lọc Tuần 23</x:v>
      </x:c>
      <x:c r="F159" s="158" t="str">
        <x:v>Ghi chú học tập và danh sách câu hỏi</x:v>
      </x:c>
      <x:c r="G159" s="158" t="str">
        <x:v>Có</x:v>
      </x:c>
      <x:c r="H159" s="158" t="str">
        <x:v>Chưa bắt đầu</x:v>
      </x:c>
      <x:c r="I159" s="245" t="n">
        <x:v>0</x:v>
      </x:c>
      <x:c r="J159" s="158" t="str"/>
      <x:c r="K159" s="158" t="str"/>
      <x:c r="L159" s="194" t="n">
        <x:f>IFERROR(MIN(I159/D159,1),0)</x:f>
        <x:v>0</x:v>
      </x:c>
    </x:row>
    <x:row r="160" ht="56" customHeight="1">
      <x:c r="A160" s="158" t="n">
        <x:v>23</x:v>
      </x:c>
      <x:c r="B160" s="158" t="str">
        <x:v>Ghi chú kiến thức</x:v>
      </x:c>
      <x:c r="C160" s="158" t="str">
        <x:v>Viết bản tóm tắt một trang về Outbox và sự kiện giao dịch; nêu ít nhất hai lựa chọn kỹ thuật và trade-off.</x:v>
      </x:c>
      <x:c r="D160" s="245" t="n">
        <x:v>1.5</x:v>
      </x:c>
      <x:c r="E160" s="158" t="str">
        <x:f>"Trang 10 → lọc Tuần "&amp;A160</x:f>
        <x:v>Trang 10 → lọc Tuần 23</x:v>
      </x:c>
      <x:c r="F160" s="158" t="str">
        <x:v>Tóm tắt một trang/ADR ngắn</x:v>
      </x:c>
      <x:c r="G160" s="158" t="str">
        <x:v>Có</x:v>
      </x:c>
      <x:c r="H160" s="158" t="str">
        <x:v>Chưa bắt đầu</x:v>
      </x:c>
      <x:c r="I160" s="245" t="n">
        <x:v>0</x:v>
      </x:c>
      <x:c r="J160" s="158" t="str"/>
      <x:c r="K160" s="158" t="str"/>
      <x:c r="L160" s="194" t="n">
        <x:f>IFERROR(MIN(I160/D160,1),0)</x:f>
        <x:v>0</x:v>
      </x:c>
    </x:row>
    <x:row r="161" ht="56" customHeight="1">
      <x:c r="A161" s="158" t="n">
        <x:v>23</x:v>
      </x:c>
      <x:c r="B161" s="158" t="str">
        <x:v>Xây dựng</x:v>
      </x:c>
      <x:c r="C161" s="158" t="str">
        <x:v>Thực hiện mục tiêu: Công bố sự kiện giao dịch tin cậy và xây consumer thông báo giả lập. Chia commit nhỏ, thông điệp commit rõ ràng.</x:v>
      </x:c>
      <x:c r="D161" s="245" t="n">
        <x:v>4</x:v>
      </x:c>
      <x:c r="E161" s="158" t="str">
        <x:f>"Trang 10 → lọc Tuần "&amp;A161</x:f>
        <x:v>Trang 10 → lọc Tuần 23</x:v>
      </x:c>
      <x:c r="F161" s="158" t="str">
        <x:v>Mã nguồn hoặc cấu hình chạy được</x:v>
      </x:c>
      <x:c r="G161" s="158" t="str">
        <x:v>Có</x:v>
      </x:c>
      <x:c r="H161" s="158" t="str">
        <x:v>Chưa bắt đầu</x:v>
      </x:c>
      <x:c r="I161" s="245" t="n">
        <x:v>0</x:v>
      </x:c>
      <x:c r="J161" s="158" t="str"/>
      <x:c r="K161" s="158" t="str"/>
      <x:c r="L161" s="194" t="n">
        <x:f>IFERROR(MIN(I161/D161,1),0)</x:f>
        <x:v>0</x:v>
      </x:c>
    </x:row>
    <x:row r="162" ht="56" customHeight="1">
      <x:c r="A162" s="158" t="n">
        <x:v>23</x:v>
      </x:c>
      <x:c r="B162" s="158" t="str">
        <x:v>Kiểm thử</x:v>
      </x:c>
      <x:c r="C162" s="158" t="str">
        <x:v>Viết kiểm thử cho ba tiêu chí: Không mất sự kiện khi dừng ứng dụng sau commit; Consumer xử lý trùng an toàn; Event có version và metadata truy vết.</x:v>
      </x:c>
      <x:c r="D162" s="245" t="n">
        <x:v>2</x:v>
      </x:c>
      <x:c r="E162" s="158" t="str">
        <x:f>"Trang 10 → lọc Tuần "&amp;A162</x:f>
        <x:v>Trang 10 → lọc Tuần 23</x:v>
      </x:c>
      <x:c r="F162" s="158" t="str">
        <x:v>Bộ kiểm thử và kết quả chạy</x:v>
      </x:c>
      <x:c r="G162" s="158" t="str">
        <x:v>Có</x:v>
      </x:c>
      <x:c r="H162" s="158" t="str">
        <x:v>Chưa bắt đầu</x:v>
      </x:c>
      <x:c r="I162" s="245" t="n">
        <x:v>0</x:v>
      </x:c>
      <x:c r="J162" s="158" t="str"/>
      <x:c r="K162" s="158" t="str"/>
      <x:c r="L162" s="194" t="n">
        <x:f>IFERROR(MIN(I162/D162,1),0)</x:f>
        <x:v>0</x:v>
      </x:c>
    </x:row>
    <x:row r="163" ht="56" customHeight="1">
      <x:c r="A163" s="158" t="n">
        <x:v>23</x:v>
      </x:c>
      <x:c r="B163" s="158" t="str">
        <x:v>Tài liệu hóa</x:v>
      </x:c>
      <x:c r="C163" s="158" t="str">
        <x:v>Cập nhật outbox publisher; Kafka topics; notification consumer; recovery tests; bổ sung sơ đồ hoặc bảng quyết định khi phù hợp.</x:v>
      </x:c>
      <x:c r="D163" s="245" t="n">
        <x:v>1.5</x:v>
      </x:c>
      <x:c r="E163" s="158" t="str">
        <x:f>"Trang 10 → lọc Tuần "&amp;A163</x:f>
        <x:v>Trang 10 → lọc Tuần 23</x:v>
      </x:c>
      <x:c r="F163" s="158" t="str">
        <x:v>Tài liệu/sơ đồ/báo cáo</x:v>
      </x:c>
      <x:c r="G163" s="158" t="str">
        <x:v>Có</x:v>
      </x:c>
      <x:c r="H163" s="158" t="str">
        <x:v>Chưa bắt đầu</x:v>
      </x:c>
      <x:c r="I163" s="245" t="n">
        <x:v>0</x:v>
      </x:c>
      <x:c r="J163" s="158" t="str"/>
      <x:c r="K163" s="158" t="str"/>
      <x:c r="L163" s="194" t="n">
        <x:f>IFERROR(MIN(I163/D163,1),0)</x:f>
        <x:v>0</x:v>
      </x:c>
    </x:row>
    <x:row r="164" ht="56" customHeight="1">
      <x:c r="A164" s="158" t="n">
        <x:v>23</x:v>
      </x:c>
      <x:c r="B164" s="158" t="str">
        <x:v>Tiếng Anh kỹ thuật</x:v>
      </x:c>
      <x:c r="C164" s="158" t="str">
        <x:v>Trình bày Outbox và sự kiện giao dịch bằng tiếng Anh 5–10 phút; ghi âm và tự ghi ba lỗi cần sửa.</x:v>
      </x:c>
      <x:c r="D164" s="245" t="n">
        <x:v>1.5</x:v>
      </x:c>
      <x:c r="E164" s="158" t="str">
        <x:f>"Trang 10 → lọc Tuần "&amp;A164</x:f>
        <x:v>Trang 10 → lọc Tuần 23</x:v>
      </x:c>
      <x:c r="F164" s="158" t="str">
        <x:v>Bản ghi âm và danh sách lỗi</x:v>
      </x:c>
      <x:c r="G164" s="158" t="str">
        <x:v>Có</x:v>
      </x:c>
      <x:c r="H164" s="158" t="str">
        <x:v>Chưa bắt đầu</x:v>
      </x:c>
      <x:c r="I164" s="245" t="n">
        <x:v>0</x:v>
      </x:c>
      <x:c r="J164" s="158" t="str"/>
      <x:c r="K164" s="158" t="str"/>
      <x:c r="L164" s="194" t="n">
        <x:f>IFERROR(MIN(I164/D164,1),0)</x:f>
        <x:v>0</x:v>
      </x:c>
    </x:row>
    <x:row r="165" ht="56" customHeight="1">
      <x:c r="A165" s="158" t="n">
        <x:v>23</x:v>
      </x:c>
      <x:c r="B165" s="158" t="str">
        <x:v>Đánh giá tuần</x:v>
      </x:c>
      <x:c r="C165" s="158" t="str">
        <x:v>Tự kiểm tra 10 câu, đánh giá toàn bộ checklist tuần, chốt tồn đọng và kế hoạch sửa.</x:v>
      </x:c>
      <x:c r="D165" s="245" t="n">
        <x:v>2</x:v>
      </x:c>
      <x:c r="E165" s="158" t="str">
        <x:f>"Trang 10 → lọc Tuần "&amp;A165</x:f>
        <x:v>Trang 10 → lọc Tuần 23</x:v>
      </x:c>
      <x:c r="F165" s="158" t="str">
        <x:v>Điểm tự kiểm tra và retrospective</x:v>
      </x:c>
      <x:c r="G165" s="158" t="str">
        <x:v>Có</x:v>
      </x:c>
      <x:c r="H165" s="158" t="str">
        <x:v>Chưa bắt đầu</x:v>
      </x:c>
      <x:c r="I165" s="245" t="n">
        <x:v>0</x:v>
      </x:c>
      <x:c r="J165" s="158" t="str"/>
      <x:c r="K165" s="158" t="str"/>
      <x:c r="L165" s="194" t="n">
        <x:f>IFERROR(MIN(I165/D165,1),0)</x:f>
        <x:v>0</x:v>
      </x:c>
    </x:row>
    <x:row r="166" ht="56" customHeight="1">
      <x:c r="A166" s="158" t="n">
        <x:v>24</x:v>
      </x:c>
      <x:c r="B166" s="158" t="str">
        <x:v>Học trọng tâm</x:v>
      </x:c>
      <x:c r="C166" s="158" t="str">
        <x:v>Đọc tài liệu R11, R12, R13; tập trung: RBAC, ownership authorization, audit trail, sensitive data handling và abuse cases. Ghi lại thuật ngữ, quy tắc và điểm chưa hiểu.</x:v>
      </x:c>
      <x:c r="D166" s="245" t="n">
        <x:v>2.5</x:v>
      </x:c>
      <x:c r="E166" s="158" t="str">
        <x:f>"Trang 10 → lọc Tuần "&amp;A166</x:f>
        <x:v>Trang 10 → lọc Tuần 24</x:v>
      </x:c>
      <x:c r="F166" s="158" t="str">
        <x:v>Ghi chú học tập và danh sách câu hỏi</x:v>
      </x:c>
      <x:c r="G166" s="158" t="str">
        <x:v>Có</x:v>
      </x:c>
      <x:c r="H166" s="158" t="str">
        <x:v>Chưa bắt đầu</x:v>
      </x:c>
      <x:c r="I166" s="245" t="n">
        <x:v>0</x:v>
      </x:c>
      <x:c r="J166" s="158" t="str"/>
      <x:c r="K166" s="158" t="str"/>
      <x:c r="L166" s="194" t="n">
        <x:f>IFERROR(MIN(I166/D166,1),0)</x:f>
        <x:v>0</x:v>
      </x:c>
    </x:row>
    <x:row r="167" ht="56" customHeight="1">
      <x:c r="A167" s="158" t="n">
        <x:v>24</x:v>
      </x:c>
      <x:c r="B167" s="158" t="str">
        <x:v>Ghi chú kiến thức</x:v>
      </x:c>
      <x:c r="C167" s="158" t="str">
        <x:v>Viết bản tóm tắt một trang về Bảo mật và nhật ký kiểm toán; nêu ít nhất hai lựa chọn kỹ thuật và trade-off.</x:v>
      </x:c>
      <x:c r="D167" s="245" t="n">
        <x:v>1.5</x:v>
      </x:c>
      <x:c r="E167" s="158" t="str">
        <x:f>"Trang 10 → lọc Tuần "&amp;A167</x:f>
        <x:v>Trang 10 → lọc Tuần 24</x:v>
      </x:c>
      <x:c r="F167" s="158" t="str">
        <x:v>Tóm tắt một trang/ADR ngắn</x:v>
      </x:c>
      <x:c r="G167" s="158" t="str">
        <x:v>Có</x:v>
      </x:c>
      <x:c r="H167" s="158" t="str">
        <x:v>Chưa bắt đầu</x:v>
      </x:c>
      <x:c r="I167" s="245" t="n">
        <x:v>0</x:v>
      </x:c>
      <x:c r="J167" s="158" t="str"/>
      <x:c r="K167" s="158" t="str"/>
      <x:c r="L167" s="194" t="n">
        <x:f>IFERROR(MIN(I167/D167,1),0)</x:f>
        <x:v>0</x:v>
      </x:c>
    </x:row>
    <x:row r="168" ht="56" customHeight="1">
      <x:c r="A168" s="158" t="n">
        <x:v>24</x:v>
      </x:c>
      <x:c r="B168" s="158" t="str">
        <x:v>Xây dựng</x:v>
      </x:c>
      <x:c r="C168" s="158" t="str">
        <x:v>Thực hiện mục tiêu: Hoàn thiện lớp bảo mật và truy vết mọi thao tác nhạy cảm. Chia commit nhỏ, thông điệp commit rõ ràng.</x:v>
      </x:c>
      <x:c r="D168" s="245" t="n">
        <x:v>4</x:v>
      </x:c>
      <x:c r="E168" s="158" t="str">
        <x:f>"Trang 10 → lọc Tuần "&amp;A168</x:f>
        <x:v>Trang 10 → lọc Tuần 24</x:v>
      </x:c>
      <x:c r="F168" s="158" t="str">
        <x:v>Mã nguồn hoặc cấu hình chạy được</x:v>
      </x:c>
      <x:c r="G168" s="158" t="str">
        <x:v>Có</x:v>
      </x:c>
      <x:c r="H168" s="158" t="str">
        <x:v>Chưa bắt đầu</x:v>
      </x:c>
      <x:c r="I168" s="245" t="n">
        <x:v>0</x:v>
      </x:c>
      <x:c r="J168" s="158" t="str"/>
      <x:c r="K168" s="158" t="str"/>
      <x:c r="L168" s="194" t="n">
        <x:f>IFERROR(MIN(I168/D168,1),0)</x:f>
        <x:v>0</x:v>
      </x:c>
    </x:row>
    <x:row r="169" ht="56" customHeight="1">
      <x:c r="A169" s="158" t="n">
        <x:v>24</x:v>
      </x:c>
      <x:c r="B169" s="158" t="str">
        <x:v>Kiểm thử</x:v>
      </x:c>
      <x:c r="C169" s="158" t="str">
        <x:v>Viết kiểm thử cho ba tiêu chí: Người dùng chỉ xem được tài khoản được cấp quyền; Thao tác quản trị yêu cầu quyền riêng; Audit log ghi actor, thời gian, hành động và kết quả.</x:v>
      </x:c>
      <x:c r="D169" s="245" t="n">
        <x:v>2</x:v>
      </x:c>
      <x:c r="E169" s="158" t="str">
        <x:f>"Trang 10 → lọc Tuần "&amp;A169</x:f>
        <x:v>Trang 10 → lọc Tuần 24</x:v>
      </x:c>
      <x:c r="F169" s="158" t="str">
        <x:v>Bộ kiểm thử và kết quả chạy</x:v>
      </x:c>
      <x:c r="G169" s="158" t="str">
        <x:v>Có</x:v>
      </x:c>
      <x:c r="H169" s="158" t="str">
        <x:v>Chưa bắt đầu</x:v>
      </x:c>
      <x:c r="I169" s="245" t="n">
        <x:v>0</x:v>
      </x:c>
      <x:c r="J169" s="158" t="str"/>
      <x:c r="K169" s="158" t="str"/>
      <x:c r="L169" s="194" t="n">
        <x:f>IFERROR(MIN(I169/D169,1),0)</x:f>
        <x:v>0</x:v>
      </x:c>
    </x:row>
    <x:row r="170" ht="56" customHeight="1">
      <x:c r="A170" s="158" t="n">
        <x:v>24</x:v>
      </x:c>
      <x:c r="B170" s="158" t="str">
        <x:v>Tài liệu hóa</x:v>
      </x:c>
      <x:c r="C170" s="158" t="str">
        <x:v>Cập nhật security policies; audit module; security tests; threat model update; bổ sung sơ đồ hoặc bảng quyết định khi phù hợp.</x:v>
      </x:c>
      <x:c r="D170" s="245" t="n">
        <x:v>1.5</x:v>
      </x:c>
      <x:c r="E170" s="158" t="str">
        <x:f>"Trang 10 → lọc Tuần "&amp;A170</x:f>
        <x:v>Trang 10 → lọc Tuần 24</x:v>
      </x:c>
      <x:c r="F170" s="158" t="str">
        <x:v>Tài liệu/sơ đồ/báo cáo</x:v>
      </x:c>
      <x:c r="G170" s="158" t="str">
        <x:v>Có</x:v>
      </x:c>
      <x:c r="H170" s="158" t="str">
        <x:v>Chưa bắt đầu</x:v>
      </x:c>
      <x:c r="I170" s="245" t="n">
        <x:v>0</x:v>
      </x:c>
      <x:c r="J170" s="158" t="str"/>
      <x:c r="K170" s="158" t="str"/>
      <x:c r="L170" s="194" t="n">
        <x:f>IFERROR(MIN(I170/D170,1),0)</x:f>
        <x:v>0</x:v>
      </x:c>
    </x:row>
    <x:row r="171" ht="56" customHeight="1">
      <x:c r="A171" s="158" t="n">
        <x:v>24</x:v>
      </x:c>
      <x:c r="B171" s="158" t="str">
        <x:v>Tiếng Anh kỹ thuật</x:v>
      </x:c>
      <x:c r="C171" s="158" t="str">
        <x:v>Trình bày Bảo mật và nhật ký kiểm toán bằng tiếng Anh 5–10 phút; ghi âm và tự ghi ba lỗi cần sửa.</x:v>
      </x:c>
      <x:c r="D171" s="245" t="n">
        <x:v>1.5</x:v>
      </x:c>
      <x:c r="E171" s="158" t="str">
        <x:f>"Trang 10 → lọc Tuần "&amp;A171</x:f>
        <x:v>Trang 10 → lọc Tuần 24</x:v>
      </x:c>
      <x:c r="F171" s="158" t="str">
        <x:v>Bản ghi âm và danh sách lỗi</x:v>
      </x:c>
      <x:c r="G171" s="158" t="str">
        <x:v>Có</x:v>
      </x:c>
      <x:c r="H171" s="158" t="str">
        <x:v>Chưa bắt đầu</x:v>
      </x:c>
      <x:c r="I171" s="245" t="n">
        <x:v>0</x:v>
      </x:c>
      <x:c r="J171" s="158" t="str"/>
      <x:c r="K171" s="158" t="str"/>
      <x:c r="L171" s="194" t="n">
        <x:f>IFERROR(MIN(I171/D171,1),0)</x:f>
        <x:v>0</x:v>
      </x:c>
    </x:row>
    <x:row r="172" ht="56" customHeight="1">
      <x:c r="A172" s="158" t="n">
        <x:v>24</x:v>
      </x:c>
      <x:c r="B172" s="158" t="str">
        <x:v>Đánh giá tuần</x:v>
      </x:c>
      <x:c r="C172" s="158" t="str">
        <x:v>Tự kiểm tra 10 câu, đánh giá toàn bộ checklist tuần, chốt tồn đọng và kế hoạch sửa.</x:v>
      </x:c>
      <x:c r="D172" s="245" t="n">
        <x:v>2</x:v>
      </x:c>
      <x:c r="E172" s="158" t="str">
        <x:f>"Trang 10 → lọc Tuần "&amp;A172</x:f>
        <x:v>Trang 10 → lọc Tuần 24</x:v>
      </x:c>
      <x:c r="F172" s="158" t="str">
        <x:v>Điểm tự kiểm tra và retrospective</x:v>
      </x:c>
      <x:c r="G172" s="158" t="str">
        <x:v>Có</x:v>
      </x:c>
      <x:c r="H172" s="158" t="str">
        <x:v>Chưa bắt đầu</x:v>
      </x:c>
      <x:c r="I172" s="245" t="n">
        <x:v>0</x:v>
      </x:c>
      <x:c r="J172" s="158" t="str"/>
      <x:c r="K172" s="158" t="str"/>
      <x:c r="L172" s="194" t="n">
        <x:f>IFERROR(MIN(I172/D172,1),0)</x:f>
        <x:v>0</x:v>
      </x:c>
    </x:row>
    <x:row r="173" ht="56" customHeight="1">
      <x:c r="A173" s="158" t="n">
        <x:v>25</x:v>
      </x:c>
      <x:c r="B173" s="158" t="str">
        <x:v>Học trọng tâm</x:v>
      </x:c>
      <x:c r="C173" s="158" t="str">
        <x:v>Đọc tài liệu R25, R22, R23, R24; tập trung: Workload model, latency percentile, throughput, saturation, error budget và bottleneck analysis. Ghi lại thuật ngữ, quy tắc và điểm chưa hiểu.</x:v>
      </x:c>
      <x:c r="D173" s="245" t="n">
        <x:v>2.5</x:v>
      </x:c>
      <x:c r="E173" s="158" t="str">
        <x:f>"Trang 10 → lọc Tuần "&amp;A173</x:f>
        <x:v>Trang 10 → lọc Tuần 25</x:v>
      </x:c>
      <x:c r="F173" s="158" t="str">
        <x:v>Ghi chú học tập và danh sách câu hỏi</x:v>
      </x:c>
      <x:c r="G173" s="158" t="str">
        <x:v>Có</x:v>
      </x:c>
      <x:c r="H173" s="158" t="str">
        <x:v>Chưa bắt đầu</x:v>
      </x:c>
      <x:c r="I173" s="245" t="n">
        <x:v>0</x:v>
      </x:c>
      <x:c r="J173" s="158" t="str"/>
      <x:c r="K173" s="158" t="str"/>
      <x:c r="L173" s="194" t="n">
        <x:f>IFERROR(MIN(I173/D173,1),0)</x:f>
        <x:v>0</x:v>
      </x:c>
    </x:row>
    <x:row r="174" ht="56" customHeight="1">
      <x:c r="A174" s="158" t="n">
        <x:v>25</x:v>
      </x:c>
      <x:c r="B174" s="158" t="str">
        <x:v>Ghi chú kiến thức</x:v>
      </x:c>
      <x:c r="C174" s="158" t="str">
        <x:v>Viết bản tóm tắt một trang về Kiểm thử tải và khả năng quan sát; nêu ít nhất hai lựa chọn kỹ thuật và trade-off.</x:v>
      </x:c>
      <x:c r="D174" s="245" t="n">
        <x:v>1.5</x:v>
      </x:c>
      <x:c r="E174" s="158" t="str">
        <x:f>"Trang 10 → lọc Tuần "&amp;A174</x:f>
        <x:v>Trang 10 → lọc Tuần 25</x:v>
      </x:c>
      <x:c r="F174" s="158" t="str">
        <x:v>Tóm tắt một trang/ADR ngắn</x:v>
      </x:c>
      <x:c r="G174" s="158" t="str">
        <x:v>Có</x:v>
      </x:c>
      <x:c r="H174" s="158" t="str">
        <x:v>Chưa bắt đầu</x:v>
      </x:c>
      <x:c r="I174" s="245" t="n">
        <x:v>0</x:v>
      </x:c>
      <x:c r="J174" s="158" t="str"/>
      <x:c r="K174" s="158" t="str"/>
      <x:c r="L174" s="194" t="n">
        <x:f>IFERROR(MIN(I174/D174,1),0)</x:f>
        <x:v>0</x:v>
      </x:c>
    </x:row>
    <x:row r="175" ht="56" customHeight="1">
      <x:c r="A175" s="158" t="n">
        <x:v>25</x:v>
      </x:c>
      <x:c r="B175" s="158" t="str">
        <x:v>Xây dựng</x:v>
      </x:c>
      <x:c r="C175" s="158" t="str">
        <x:v>Thực hiện mục tiêu: Đạt tải mục tiêu tự đặt và chứng minh hệ thống không mất tính đúng đắn. Chia commit nhỏ, thông điệp commit rõ ràng.</x:v>
      </x:c>
      <x:c r="D175" s="245" t="n">
        <x:v>4</x:v>
      </x:c>
      <x:c r="E175" s="158" t="str">
        <x:f>"Trang 10 → lọc Tuần "&amp;A175</x:f>
        <x:v>Trang 10 → lọc Tuần 25</x:v>
      </x:c>
      <x:c r="F175" s="158" t="str">
        <x:v>Mã nguồn hoặc cấu hình chạy được</x:v>
      </x:c>
      <x:c r="G175" s="158" t="str">
        <x:v>Có</x:v>
      </x:c>
      <x:c r="H175" s="158" t="str">
        <x:v>Chưa bắt đầu</x:v>
      </x:c>
      <x:c r="I175" s="245" t="n">
        <x:v>0</x:v>
      </x:c>
      <x:c r="J175" s="158" t="str"/>
      <x:c r="K175" s="158" t="str"/>
      <x:c r="L175" s="194" t="n">
        <x:f>IFERROR(MIN(I175/D175,1),0)</x:f>
        <x:v>0</x:v>
      </x:c>
    </x:row>
    <x:row r="176" ht="56" customHeight="1">
      <x:c r="A176" s="158" t="n">
        <x:v>25</x:v>
      </x:c>
      <x:c r="B176" s="158" t="str">
        <x:v>Kiểm thử</x:v>
      </x:c>
      <x:c r="C176" s="158" t="str">
        <x:v>Viết kiểm thử cho ba tiêu chí: Kịch bản tải phản ánh đọc số dư và chuyển tiền; Báo cáo có p50, p95, p99 và throughput; Theo dõi CPU, memory, database pool và Kafka lag.</x:v>
      </x:c>
      <x:c r="D176" s="245" t="n">
        <x:v>2</x:v>
      </x:c>
      <x:c r="E176" s="158" t="str">
        <x:f>"Trang 10 → lọc Tuần "&amp;A176</x:f>
        <x:v>Trang 10 → lọc Tuần 25</x:v>
      </x:c>
      <x:c r="F176" s="158" t="str">
        <x:v>Bộ kiểm thử và kết quả chạy</x:v>
      </x:c>
      <x:c r="G176" s="158" t="str">
        <x:v>Có</x:v>
      </x:c>
      <x:c r="H176" s="158" t="str">
        <x:v>Chưa bắt đầu</x:v>
      </x:c>
      <x:c r="I176" s="245" t="n">
        <x:v>0</x:v>
      </x:c>
      <x:c r="J176" s="158" t="str"/>
      <x:c r="K176" s="158" t="str"/>
      <x:c r="L176" s="194" t="n">
        <x:f>IFERROR(MIN(I176/D176,1),0)</x:f>
        <x:v>0</x:v>
      </x:c>
    </x:row>
    <x:row r="177" ht="56" customHeight="1">
      <x:c r="A177" s="158" t="n">
        <x:v>25</x:v>
      </x:c>
      <x:c r="B177" s="158" t="str">
        <x:v>Tài liệu hóa</x:v>
      </x:c>
      <x:c r="C177" s="158" t="str">
        <x:v>Cập nhật k6 scripts; load report; dashboard; tuning log; bổ sung sơ đồ hoặc bảng quyết định khi phù hợp.</x:v>
      </x:c>
      <x:c r="D177" s="245" t="n">
        <x:v>1.5</x:v>
      </x:c>
      <x:c r="E177" s="158" t="str">
        <x:f>"Trang 10 → lọc Tuần "&amp;A177</x:f>
        <x:v>Trang 10 → lọc Tuần 25</x:v>
      </x:c>
      <x:c r="F177" s="158" t="str">
        <x:v>Tài liệu/sơ đồ/báo cáo</x:v>
      </x:c>
      <x:c r="G177" s="158" t="str">
        <x:v>Có</x:v>
      </x:c>
      <x:c r="H177" s="158" t="str">
        <x:v>Chưa bắt đầu</x:v>
      </x:c>
      <x:c r="I177" s="245" t="n">
        <x:v>0</x:v>
      </x:c>
      <x:c r="J177" s="158" t="str"/>
      <x:c r="K177" s="158" t="str"/>
      <x:c r="L177" s="194" t="n">
        <x:f>IFERROR(MIN(I177/D177,1),0)</x:f>
        <x:v>0</x:v>
      </x:c>
    </x:row>
    <x:row r="178" ht="56" customHeight="1">
      <x:c r="A178" s="158" t="n">
        <x:v>25</x:v>
      </x:c>
      <x:c r="B178" s="158" t="str">
        <x:v>Tiếng Anh kỹ thuật</x:v>
      </x:c>
      <x:c r="C178" s="158" t="str">
        <x:v>Trình bày Kiểm thử tải và khả năng quan sát bằng tiếng Anh 5–10 phút; ghi âm và tự ghi ba lỗi cần sửa.</x:v>
      </x:c>
      <x:c r="D178" s="245" t="n">
        <x:v>1.5</x:v>
      </x:c>
      <x:c r="E178" s="158" t="str">
        <x:f>"Trang 10 → lọc Tuần "&amp;A178</x:f>
        <x:v>Trang 10 → lọc Tuần 25</x:v>
      </x:c>
      <x:c r="F178" s="158" t="str">
        <x:v>Bản ghi âm và danh sách lỗi</x:v>
      </x:c>
      <x:c r="G178" s="158" t="str">
        <x:v>Có</x:v>
      </x:c>
      <x:c r="H178" s="158" t="str">
        <x:v>Chưa bắt đầu</x:v>
      </x:c>
      <x:c r="I178" s="245" t="n">
        <x:v>0</x:v>
      </x:c>
      <x:c r="J178" s="158" t="str"/>
      <x:c r="K178" s="158" t="str"/>
      <x:c r="L178" s="194" t="n">
        <x:f>IFERROR(MIN(I178/D178,1),0)</x:f>
        <x:v>0</x:v>
      </x:c>
    </x:row>
    <x:row r="179" ht="56" customHeight="1">
      <x:c r="A179" s="158" t="n">
        <x:v>25</x:v>
      </x:c>
      <x:c r="B179" s="158" t="str">
        <x:v>Đánh giá tuần</x:v>
      </x:c>
      <x:c r="C179" s="158" t="str">
        <x:v>Tự kiểm tra 10 câu, đánh giá toàn bộ checklist tuần, chốt tồn đọng và kế hoạch sửa.</x:v>
      </x:c>
      <x:c r="D179" s="245" t="n">
        <x:v>2</x:v>
      </x:c>
      <x:c r="E179" s="158" t="str">
        <x:f>"Trang 10 → lọc Tuần "&amp;A179</x:f>
        <x:v>Trang 10 → lọc Tuần 25</x:v>
      </x:c>
      <x:c r="F179" s="158" t="str">
        <x:v>Điểm tự kiểm tra và retrospective</x:v>
      </x:c>
      <x:c r="G179" s="158" t="str">
        <x:v>Có</x:v>
      </x:c>
      <x:c r="H179" s="158" t="str">
        <x:v>Chưa bắt đầu</x:v>
      </x:c>
      <x:c r="I179" s="245" t="n">
        <x:v>0</x:v>
      </x:c>
      <x:c r="J179" s="158" t="str"/>
      <x:c r="K179" s="158" t="str"/>
      <x:c r="L179" s="194" t="n">
        <x:f>IFERROR(MIN(I179/D179,1),0)</x:f>
        <x:v>0</x:v>
      </x:c>
    </x:row>
    <x:row r="180" ht="56" customHeight="1">
      <x:c r="A180" s="158" t="n">
        <x:v>26</x:v>
      </x:c>
      <x:c r="B180" s="158" t="str">
        <x:v>Học trọng tâm</x:v>
      </x:c>
      <x:c r="C180" s="158" t="str">
        <x:v>Đọc tài liệu R31, R32, R35; tập trung: Deployment checklist, backup, rollback, runbook, architecture narrative và demo storytelling. Ghi lại thuật ngữ, quy tắc và điểm chưa hiểu.</x:v>
      </x:c>
      <x:c r="D180" s="245" t="n">
        <x:v>2.5</x:v>
      </x:c>
      <x:c r="E180" s="158" t="str">
        <x:f>"Trang 10 → lọc Tuần "&amp;A180</x:f>
        <x:v>Trang 10 → lọc Tuần 26</x:v>
      </x:c>
      <x:c r="F180" s="158" t="str">
        <x:v>Ghi chú học tập và danh sách câu hỏi</x:v>
      </x:c>
      <x:c r="G180" s="158" t="str">
        <x:v>Có</x:v>
      </x:c>
      <x:c r="H180" s="158" t="str">
        <x:v>Chưa bắt đầu</x:v>
      </x:c>
      <x:c r="I180" s="245" t="n">
        <x:v>0</x:v>
      </x:c>
      <x:c r="J180" s="158" t="str"/>
      <x:c r="K180" s="158" t="str"/>
      <x:c r="L180" s="194" t="n">
        <x:f>IFERROR(MIN(I180/D180,1),0)</x:f>
        <x:v>0</x:v>
      </x:c>
    </x:row>
    <x:row r="181" ht="56" customHeight="1">
      <x:c r="A181" s="158" t="n">
        <x:v>26</x:v>
      </x:c>
      <x:c r="B181" s="158" t="str">
        <x:v>Ghi chú kiến thức</x:v>
      </x:c>
      <x:c r="C181" s="158" t="str">
        <x:v>Viết bản tóm tắt một trang về Triển khai, tài liệu và trình diễn dự án 1; nêu ít nhất hai lựa chọn kỹ thuật và trade-off.</x:v>
      </x:c>
      <x:c r="D181" s="245" t="n">
        <x:v>1.5</x:v>
      </x:c>
      <x:c r="E181" s="158" t="str">
        <x:f>"Trang 10 → lọc Tuần "&amp;A181</x:f>
        <x:v>Trang 10 → lọc Tuần 26</x:v>
      </x:c>
      <x:c r="F181" s="158" t="str">
        <x:v>Tóm tắt một trang/ADR ngắn</x:v>
      </x:c>
      <x:c r="G181" s="158" t="str">
        <x:v>Có</x:v>
      </x:c>
      <x:c r="H181" s="158" t="str">
        <x:v>Chưa bắt đầu</x:v>
      </x:c>
      <x:c r="I181" s="245" t="n">
        <x:v>0</x:v>
      </x:c>
      <x:c r="J181" s="158" t="str"/>
      <x:c r="K181" s="158" t="str"/>
      <x:c r="L181" s="194" t="n">
        <x:f>IFERROR(MIN(I181/D181,1),0)</x:f>
        <x:v>0</x:v>
      </x:c>
    </x:row>
    <x:row r="182" ht="56" customHeight="1">
      <x:c r="A182" s="158" t="n">
        <x:v>26</x:v>
      </x:c>
      <x:c r="B182" s="158" t="str">
        <x:v>Xây dựng</x:v>
      </x:c>
      <x:c r="C182" s="158" t="str">
        <x:v>Thực hiện mục tiêu: Triển khai bản dùng thử trên cloud chi phí thấp và trình diễn trong 15 phút. Chia commit nhỏ, thông điệp commit rõ ràng.</x:v>
      </x:c>
      <x:c r="D182" s="245" t="n">
        <x:v>4</x:v>
      </x:c>
      <x:c r="E182" s="158" t="str">
        <x:f>"Trang 10 → lọc Tuần "&amp;A182</x:f>
        <x:v>Trang 10 → lọc Tuần 26</x:v>
      </x:c>
      <x:c r="F182" s="158" t="str">
        <x:v>Mã nguồn hoặc cấu hình chạy được</x:v>
      </x:c>
      <x:c r="G182" s="158" t="str">
        <x:v>Có</x:v>
      </x:c>
      <x:c r="H182" s="158" t="str">
        <x:v>Chưa bắt đầu</x:v>
      </x:c>
      <x:c r="I182" s="245" t="n">
        <x:v>0</x:v>
      </x:c>
      <x:c r="J182" s="158" t="str"/>
      <x:c r="K182" s="158" t="str"/>
      <x:c r="L182" s="194" t="n">
        <x:f>IFERROR(MIN(I182/D182,1),0)</x:f>
        <x:v>0</x:v>
      </x:c>
    </x:row>
    <x:row r="183" ht="56" customHeight="1">
      <x:c r="A183" s="158" t="n">
        <x:v>26</x:v>
      </x:c>
      <x:c r="B183" s="158" t="str">
        <x:v>Kiểm thử</x:v>
      </x:c>
      <x:c r="C183" s="158" t="str">
        <x:v>Viết kiểm thử cho ba tiêu chí: Ứng dụng có healthcheck và cấu hình môi trường; Có giới hạn chi phí hoặc cảnh báo ngân sách; Có quy trình triển khai và rollback.</x:v>
      </x:c>
      <x:c r="D183" s="245" t="n">
        <x:v>2</x:v>
      </x:c>
      <x:c r="E183" s="158" t="str">
        <x:f>"Trang 10 → lọc Tuần "&amp;A183</x:f>
        <x:v>Trang 10 → lọc Tuần 26</x:v>
      </x:c>
      <x:c r="F183" s="158" t="str">
        <x:v>Bộ kiểm thử và kết quả chạy</x:v>
      </x:c>
      <x:c r="G183" s="158" t="str">
        <x:v>Có</x:v>
      </x:c>
      <x:c r="H183" s="158" t="str">
        <x:v>Chưa bắt đầu</x:v>
      </x:c>
      <x:c r="I183" s="245" t="n">
        <x:v>0</x:v>
      </x:c>
      <x:c r="J183" s="158" t="str"/>
      <x:c r="K183" s="158" t="str"/>
      <x:c r="L183" s="194" t="n">
        <x:f>IFERROR(MIN(I183/D183,1),0)</x:f>
        <x:v>0</x:v>
      </x:c>
    </x:row>
    <x:row r="184" ht="56" customHeight="1">
      <x:c r="A184" s="158" t="n">
        <x:v>26</x:v>
      </x:c>
      <x:c r="B184" s="158" t="str">
        <x:v>Tài liệu hóa</x:v>
      </x:c>
      <x:c r="C184" s="158" t="str">
        <x:v>Cập nhật deployment URL; English README; runbook; demo video; release v1.0; bổ sung sơ đồ hoặc bảng quyết định khi phù hợp.</x:v>
      </x:c>
      <x:c r="D184" s="245" t="n">
        <x:v>1.5</x:v>
      </x:c>
      <x:c r="E184" s="158" t="str">
        <x:f>"Trang 10 → lọc Tuần "&amp;A184</x:f>
        <x:v>Trang 10 → lọc Tuần 26</x:v>
      </x:c>
      <x:c r="F184" s="158" t="str">
        <x:v>Tài liệu/sơ đồ/báo cáo</x:v>
      </x:c>
      <x:c r="G184" s="158" t="str">
        <x:v>Có</x:v>
      </x:c>
      <x:c r="H184" s="158" t="str">
        <x:v>Chưa bắt đầu</x:v>
      </x:c>
      <x:c r="I184" s="245" t="n">
        <x:v>0</x:v>
      </x:c>
      <x:c r="J184" s="158" t="str"/>
      <x:c r="K184" s="158" t="str"/>
      <x:c r="L184" s="194" t="n">
        <x:f>IFERROR(MIN(I184/D184,1),0)</x:f>
        <x:v>0</x:v>
      </x:c>
    </x:row>
    <x:row r="185" ht="56" customHeight="1">
      <x:c r="A185" s="158" t="n">
        <x:v>26</x:v>
      </x:c>
      <x:c r="B185" s="158" t="str">
        <x:v>Tiếng Anh kỹ thuật</x:v>
      </x:c>
      <x:c r="C185" s="158" t="str">
        <x:v>Trình bày Triển khai, tài liệu và trình diễn dự án 1 bằng tiếng Anh 5–10 phút; ghi âm và tự ghi ba lỗi cần sửa.</x:v>
      </x:c>
      <x:c r="D185" s="245" t="n">
        <x:v>1.5</x:v>
      </x:c>
      <x:c r="E185" s="158" t="str">
        <x:f>"Trang 10 → lọc Tuần "&amp;A185</x:f>
        <x:v>Trang 10 → lọc Tuần 26</x:v>
      </x:c>
      <x:c r="F185" s="158" t="str">
        <x:v>Bản ghi âm và danh sách lỗi</x:v>
      </x:c>
      <x:c r="G185" s="158" t="str">
        <x:v>Có</x:v>
      </x:c>
      <x:c r="H185" s="158" t="str">
        <x:v>Chưa bắt đầu</x:v>
      </x:c>
      <x:c r="I185" s="245" t="n">
        <x:v>0</x:v>
      </x:c>
      <x:c r="J185" s="158" t="str"/>
      <x:c r="K185" s="158" t="str"/>
      <x:c r="L185" s="194" t="n">
        <x:f>IFERROR(MIN(I185/D185,1),0)</x:f>
        <x:v>0</x:v>
      </x:c>
    </x:row>
    <x:row r="186" ht="56" customHeight="1">
      <x:c r="A186" s="158" t="n">
        <x:v>26</x:v>
      </x:c>
      <x:c r="B186" s="158" t="str">
        <x:v>Đánh giá tuần</x:v>
      </x:c>
      <x:c r="C186" s="158" t="str">
        <x:v>Tự kiểm tra 10 câu, đánh giá toàn bộ checklist tuần, chốt tồn đọng và kế hoạch sửa.</x:v>
      </x:c>
      <x:c r="D186" s="245" t="n">
        <x:v>2</x:v>
      </x:c>
      <x:c r="E186" s="158" t="str">
        <x:f>"Trang 10 → lọc Tuần "&amp;A186</x:f>
        <x:v>Trang 10 → lọc Tuần 26</x:v>
      </x:c>
      <x:c r="F186" s="158" t="str">
        <x:v>Điểm tự kiểm tra và retrospective</x:v>
      </x:c>
      <x:c r="G186" s="158" t="str">
        <x:v>Có</x:v>
      </x:c>
      <x:c r="H186" s="158" t="str">
        <x:v>Chưa bắt đầu</x:v>
      </x:c>
      <x:c r="I186" s="245" t="n">
        <x:v>0</x:v>
      </x:c>
      <x:c r="J186" s="158" t="str"/>
      <x:c r="K186" s="158" t="str"/>
      <x:c r="L186" s="194" t="n">
        <x:f>IFERROR(MIN(I186/D186,1),0)</x:f>
        <x:v>0</x:v>
      </x:c>
    </x:row>
    <x:row r="187" ht="56" customHeight="1">
      <x:c r="A187" s="158" t="n">
        <x:v>27</x:v>
      </x:c>
      <x:c r="B187" s="158" t="str">
        <x:v>Học trọng tâm</x:v>
      </x:c>
      <x:c r="C187" s="158" t="str">
        <x:v>Đọc tài liệu R19, R17; tập trung: Instrument, quote, trade, position, portfolio, market value, realized/unrealized P&amp;L và corporate action boundary. Ghi lại thuật ngữ, quy tắc và điểm chưa hiểu.</x:v>
      </x:c>
      <x:c r="D187" s="245" t="n">
        <x:v>2.5</x:v>
      </x:c>
      <x:c r="E187" s="158" t="str">
        <x:f>"Trang 10 → lọc Tuần "&amp;A187</x:f>
        <x:v>Trang 10 → lọc Tuần 27</x:v>
      </x:c>
      <x:c r="F187" s="158" t="str">
        <x:v>Ghi chú học tập và danh sách câu hỏi</x:v>
      </x:c>
      <x:c r="G187" s="158" t="str">
        <x:v>Có</x:v>
      </x:c>
      <x:c r="H187" s="158" t="str">
        <x:v>Chưa bắt đầu</x:v>
      </x:c>
      <x:c r="I187" s="245" t="n">
        <x:v>0</x:v>
      </x:c>
      <x:c r="J187" s="158" t="str"/>
      <x:c r="K187" s="158" t="str"/>
      <x:c r="L187" s="194" t="n">
        <x:f>IFERROR(MIN(I187/D187,1),0)</x:f>
        <x:v>0</x:v>
      </x:c>
    </x:row>
    <x:row r="188" ht="56" customHeight="1">
      <x:c r="A188" s="158" t="n">
        <x:v>27</x:v>
      </x:c>
      <x:c r="B188" s="158" t="str">
        <x:v>Ghi chú kiến thức</x:v>
      </x:c>
      <x:c r="C188" s="158" t="str">
        <x:v>Viết bản tóm tắt một trang về Nghiệp vụ danh mục và dữ liệu thị trường; nêu ít nhất hai lựa chọn kỹ thuật và trade-off.</x:v>
      </x:c>
      <x:c r="D188" s="245" t="n">
        <x:v>1.5</x:v>
      </x:c>
      <x:c r="E188" s="158" t="str">
        <x:f>"Trang 10 → lọc Tuần "&amp;A188</x:f>
        <x:v>Trang 10 → lọc Tuần 27</x:v>
      </x:c>
      <x:c r="F188" s="158" t="str">
        <x:v>Tóm tắt một trang/ADR ngắn</x:v>
      </x:c>
      <x:c r="G188" s="158" t="str">
        <x:v>Có</x:v>
      </x:c>
      <x:c r="H188" s="158" t="str">
        <x:v>Chưa bắt đầu</x:v>
      </x:c>
      <x:c r="I188" s="245" t="n">
        <x:v>0</x:v>
      </x:c>
      <x:c r="J188" s="158" t="str"/>
      <x:c r="K188" s="158" t="str"/>
      <x:c r="L188" s="194" t="n">
        <x:f>IFERROR(MIN(I188/D188,1),0)</x:f>
        <x:v>0</x:v>
      </x:c>
    </x:row>
    <x:row r="189" ht="56" customHeight="1">
      <x:c r="A189" s="158" t="n">
        <x:v>27</x:v>
      </x:c>
      <x:c r="B189" s="158" t="str">
        <x:v>Xây dựng</x:v>
      </x:c>
      <x:c r="C189" s="158" t="str">
        <x:v>Thực hiện mục tiêu: Hoàn thành từ điển nghiệp vụ và công thức định giá phạm vi dự án. Chia commit nhỏ, thông điệp commit rõ ràng.</x:v>
      </x:c>
      <x:c r="D189" s="245" t="n">
        <x:v>4</x:v>
      </x:c>
      <x:c r="E189" s="158" t="str">
        <x:f>"Trang 10 → lọc Tuần "&amp;A189</x:f>
        <x:v>Trang 10 → lọc Tuần 27</x:v>
      </x:c>
      <x:c r="F189" s="158" t="str">
        <x:v>Mã nguồn hoặc cấu hình chạy được</x:v>
      </x:c>
      <x:c r="G189" s="158" t="str">
        <x:v>Có</x:v>
      </x:c>
      <x:c r="H189" s="158" t="str">
        <x:v>Chưa bắt đầu</x:v>
      </x:c>
      <x:c r="I189" s="245" t="n">
        <x:v>0</x:v>
      </x:c>
      <x:c r="J189" s="158" t="str"/>
      <x:c r="K189" s="158" t="str"/>
      <x:c r="L189" s="194" t="n">
        <x:f>IFERROR(MIN(I189/D189,1),0)</x:f>
        <x:v>0</x:v>
      </x:c>
    </x:row>
    <x:row r="190" ht="56" customHeight="1">
      <x:c r="A190" s="158" t="n">
        <x:v>27</x:v>
      </x:c>
      <x:c r="B190" s="158" t="str">
        <x:v>Kiểm thử</x:v>
      </x:c>
      <x:c r="C190" s="158" t="str">
        <x:v>Viết kiểm thử cho ba tiêu chí: Phân biệt được quote, trade và position; Định nghĩa rõ realized và unrealized P&amp;L; Quy định đơn vị tiền tệ và độ chính xác.</x:v>
      </x:c>
      <x:c r="D190" s="245" t="n">
        <x:v>2</x:v>
      </x:c>
      <x:c r="E190" s="158" t="str">
        <x:f>"Trang 10 → lọc Tuần "&amp;A190</x:f>
        <x:v>Trang 10 → lọc Tuần 27</x:v>
      </x:c>
      <x:c r="F190" s="158" t="str">
        <x:v>Bộ kiểm thử và kết quả chạy</x:v>
      </x:c>
      <x:c r="G190" s="158" t="str">
        <x:v>Có</x:v>
      </x:c>
      <x:c r="H190" s="158" t="str">
        <x:v>Chưa bắt đầu</x:v>
      </x:c>
      <x:c r="I190" s="245" t="n">
        <x:v>0</x:v>
      </x:c>
      <x:c r="J190" s="158" t="str"/>
      <x:c r="K190" s="158" t="str"/>
      <x:c r="L190" s="194" t="n">
        <x:f>IFERROR(MIN(I190/D190,1),0)</x:f>
        <x:v>0</x:v>
      </x:c>
    </x:row>
    <x:row r="191" ht="56" customHeight="1">
      <x:c r="A191" s="158" t="n">
        <x:v>27</x:v>
      </x:c>
      <x:c r="B191" s="158" t="str">
        <x:v>Tài liệu hóa</x:v>
      </x:c>
      <x:c r="C191" s="158" t="str">
        <x:v>Cập nhật domain glossary; formulas; sample scenarios; context map; bổ sung sơ đồ hoặc bảng quyết định khi phù hợp.</x:v>
      </x:c>
      <x:c r="D191" s="245" t="n">
        <x:v>1.5</x:v>
      </x:c>
      <x:c r="E191" s="158" t="str">
        <x:f>"Trang 10 → lọc Tuần "&amp;A191</x:f>
        <x:v>Trang 10 → lọc Tuần 27</x:v>
      </x:c>
      <x:c r="F191" s="158" t="str">
        <x:v>Tài liệu/sơ đồ/báo cáo</x:v>
      </x:c>
      <x:c r="G191" s="158" t="str">
        <x:v>Có</x:v>
      </x:c>
      <x:c r="H191" s="158" t="str">
        <x:v>Chưa bắt đầu</x:v>
      </x:c>
      <x:c r="I191" s="245" t="n">
        <x:v>0</x:v>
      </x:c>
      <x:c r="J191" s="158" t="str"/>
      <x:c r="K191" s="158" t="str"/>
      <x:c r="L191" s="194" t="n">
        <x:f>IFERROR(MIN(I191/D191,1),0)</x:f>
        <x:v>0</x:v>
      </x:c>
    </x:row>
    <x:row r="192" ht="56" customHeight="1">
      <x:c r="A192" s="158" t="n">
        <x:v>27</x:v>
      </x:c>
      <x:c r="B192" s="158" t="str">
        <x:v>Tiếng Anh kỹ thuật</x:v>
      </x:c>
      <x:c r="C192" s="158" t="str">
        <x:v>Trình bày Nghiệp vụ danh mục và dữ liệu thị trường bằng tiếng Anh 5–10 phút; ghi âm và tự ghi ba lỗi cần sửa.</x:v>
      </x:c>
      <x:c r="D192" s="245" t="n">
        <x:v>1.5</x:v>
      </x:c>
      <x:c r="E192" s="158" t="str">
        <x:f>"Trang 10 → lọc Tuần "&amp;A192</x:f>
        <x:v>Trang 10 → lọc Tuần 27</x:v>
      </x:c>
      <x:c r="F192" s="158" t="str">
        <x:v>Bản ghi âm và danh sách lỗi</x:v>
      </x:c>
      <x:c r="G192" s="158" t="str">
        <x:v>Có</x:v>
      </x:c>
      <x:c r="H192" s="158" t="str">
        <x:v>Chưa bắt đầu</x:v>
      </x:c>
      <x:c r="I192" s="245" t="n">
        <x:v>0</x:v>
      </x:c>
      <x:c r="J192" s="158" t="str"/>
      <x:c r="K192" s="158" t="str"/>
      <x:c r="L192" s="194" t="n">
        <x:f>IFERROR(MIN(I192/D192,1),0)</x:f>
        <x:v>0</x:v>
      </x:c>
    </x:row>
    <x:row r="193" ht="56" customHeight="1">
      <x:c r="A193" s="158" t="n">
        <x:v>27</x:v>
      </x:c>
      <x:c r="B193" s="158" t="str">
        <x:v>Đánh giá tuần</x:v>
      </x:c>
      <x:c r="C193" s="158" t="str">
        <x:v>Tự kiểm tra 10 câu, đánh giá toàn bộ checklist tuần, chốt tồn đọng và kế hoạch sửa.</x:v>
      </x:c>
      <x:c r="D193" s="245" t="n">
        <x:v>2</x:v>
      </x:c>
      <x:c r="E193" s="158" t="str">
        <x:f>"Trang 10 → lọc Tuần "&amp;A193</x:f>
        <x:v>Trang 10 → lọc Tuần 27</x:v>
      </x:c>
      <x:c r="F193" s="158" t="str">
        <x:v>Điểm tự kiểm tra và retrospective</x:v>
      </x:c>
      <x:c r="G193" s="158" t="str">
        <x:v>Có</x:v>
      </x:c>
      <x:c r="H193" s="158" t="str">
        <x:v>Chưa bắt đầu</x:v>
      </x:c>
      <x:c r="I193" s="245" t="n">
        <x:v>0</x:v>
      </x:c>
      <x:c r="J193" s="158" t="str"/>
      <x:c r="K193" s="158" t="str"/>
      <x:c r="L193" s="194" t="n">
        <x:f>IFERROR(MIN(I193/D193,1),0)</x:f>
        <x:v>0</x:v>
      </x:c>
    </x:row>
    <x:row r="194" ht="56" customHeight="1">
      <x:c r="A194" s="158" t="n">
        <x:v>28</x:v>
      </x:c>
      <x:c r="B194" s="158" t="str">
        <x:v>Học trọng tâm</x:v>
      </x:c>
      <x:c r="C194" s="158" t="str">
        <x:v>Đọc tài liệu R19, R20, R30; tập trung: Ingestion adapter, canonical event, partition key, data freshness, backpressure và service boundary. Ghi lại thuật ngữ, quy tắc và điểm chưa hiểu.</x:v>
      </x:c>
      <x:c r="D194" s="245" t="n">
        <x:v>2.5</x:v>
      </x:c>
      <x:c r="E194" s="158" t="str">
        <x:f>"Trang 10 → lọc Tuần "&amp;A194</x:f>
        <x:v>Trang 10 → lọc Tuần 28</x:v>
      </x:c>
      <x:c r="F194" s="158" t="str">
        <x:v>Ghi chú học tập và danh sách câu hỏi</x:v>
      </x:c>
      <x:c r="G194" s="158" t="str">
        <x:v>Có</x:v>
      </x:c>
      <x:c r="H194" s="158" t="str">
        <x:v>Chưa bắt đầu</x:v>
      </x:c>
      <x:c r="I194" s="245" t="n">
        <x:v>0</x:v>
      </x:c>
      <x:c r="J194" s="158" t="str"/>
      <x:c r="K194" s="158" t="str"/>
      <x:c r="L194" s="194" t="n">
        <x:f>IFERROR(MIN(I194/D194,1),0)</x:f>
        <x:v>0</x:v>
      </x:c>
    </x:row>
    <x:row r="195" ht="56" customHeight="1">
      <x:c r="A195" s="158" t="n">
        <x:v>28</x:v>
      </x:c>
      <x:c r="B195" s="158" t="str">
        <x:v>Ghi chú kiến thức</x:v>
      </x:c>
      <x:c r="C195" s="158" t="str">
        <x:v>Viết bản tóm tắt một trang về Kiến trúc tiếp nhận dữ liệu thị trường; nêu ít nhất hai lựa chọn kỹ thuật và trade-off.</x:v>
      </x:c>
      <x:c r="D195" s="245" t="n">
        <x:v>1.5</x:v>
      </x:c>
      <x:c r="E195" s="158" t="str">
        <x:f>"Trang 10 → lọc Tuần "&amp;A195</x:f>
        <x:v>Trang 10 → lọc Tuần 28</x:v>
      </x:c>
      <x:c r="F195" s="158" t="str">
        <x:v>Tóm tắt một trang/ADR ngắn</x:v>
      </x:c>
      <x:c r="G195" s="158" t="str">
        <x:v>Có</x:v>
      </x:c>
      <x:c r="H195" s="158" t="str">
        <x:v>Chưa bắt đầu</x:v>
      </x:c>
      <x:c r="I195" s="245" t="n">
        <x:v>0</x:v>
      </x:c>
      <x:c r="J195" s="158" t="str"/>
      <x:c r="K195" s="158" t="str"/>
      <x:c r="L195" s="194" t="n">
        <x:f>IFERROR(MIN(I195/D195,1),0)</x:f>
        <x:v>0</x:v>
      </x:c>
    </x:row>
    <x:row r="196" ht="56" customHeight="1">
      <x:c r="A196" s="158" t="n">
        <x:v>28</x:v>
      </x:c>
      <x:c r="B196" s="158" t="str">
        <x:v>Xây dựng</x:v>
      </x:c>
      <x:c r="C196" s="158" t="str">
        <x:v>Thực hiện mục tiêu: Thiết kế kiến trúc dự án 2 và bộ phát giá mô phỏng. Chia commit nhỏ, thông điệp commit rõ ràng.</x:v>
      </x:c>
      <x:c r="D196" s="245" t="n">
        <x:v>4</x:v>
      </x:c>
      <x:c r="E196" s="158" t="str">
        <x:f>"Trang 10 → lọc Tuần "&amp;A196</x:f>
        <x:v>Trang 10 → lọc Tuần 28</x:v>
      </x:c>
      <x:c r="F196" s="158" t="str">
        <x:v>Mã nguồn hoặc cấu hình chạy được</x:v>
      </x:c>
      <x:c r="G196" s="158" t="str">
        <x:v>Có</x:v>
      </x:c>
      <x:c r="H196" s="158" t="str">
        <x:v>Chưa bắt đầu</x:v>
      </x:c>
      <x:c r="I196" s="245" t="n">
        <x:v>0</x:v>
      </x:c>
      <x:c r="J196" s="158" t="str"/>
      <x:c r="K196" s="158" t="str"/>
      <x:c r="L196" s="194" t="n">
        <x:f>IFERROR(MIN(I196/D196,1),0)</x:f>
        <x:v>0</x:v>
      </x:c>
    </x:row>
    <x:row r="197" ht="56" customHeight="1">
      <x:c r="A197" s="158" t="n">
        <x:v>28</x:v>
      </x:c>
      <x:c r="B197" s="158" t="str">
        <x:v>Kiểm thử</x:v>
      </x:c>
      <x:c r="C197" s="158" t="str">
        <x:v>Viết kiểm thử cho ba tiêu chí: Event giá có symbol, price, currency, timestamp và sequence; Partition key duy trì thứ tự theo mã tài sản; Hệ thống phân biệt event time và processing time.</x:v>
      </x:c>
      <x:c r="D197" s="245" t="n">
        <x:v>2</x:v>
      </x:c>
      <x:c r="E197" s="158" t="str">
        <x:f>"Trang 10 → lọc Tuần "&amp;A197</x:f>
        <x:v>Trang 10 → lọc Tuần 28</x:v>
      </x:c>
      <x:c r="F197" s="158" t="str">
        <x:v>Bộ kiểm thử và kết quả chạy</x:v>
      </x:c>
      <x:c r="G197" s="158" t="str">
        <x:v>Có</x:v>
      </x:c>
      <x:c r="H197" s="158" t="str">
        <x:v>Chưa bắt đầu</x:v>
      </x:c>
      <x:c r="I197" s="245" t="n">
        <x:v>0</x:v>
      </x:c>
      <x:c r="J197" s="158" t="str"/>
      <x:c r="K197" s="158" t="str"/>
      <x:c r="L197" s="194" t="n">
        <x:f>IFERROR(MIN(I197/D197,1),0)</x:f>
        <x:v>0</x:v>
      </x:c>
    </x:row>
    <x:row r="198" ht="56" customHeight="1">
      <x:c r="A198" s="158" t="n">
        <x:v>28</x:v>
      </x:c>
      <x:c r="B198" s="158" t="str">
        <x:v>Tài liệu hóa</x:v>
      </x:c>
      <x:c r="C198" s="158" t="str">
        <x:v>Cập nhật C4 diagrams; event schema; simulator; ADR set; bổ sung sơ đồ hoặc bảng quyết định khi phù hợp.</x:v>
      </x:c>
      <x:c r="D198" s="245" t="n">
        <x:v>1.5</x:v>
      </x:c>
      <x:c r="E198" s="158" t="str">
        <x:f>"Trang 10 → lọc Tuần "&amp;A198</x:f>
        <x:v>Trang 10 → lọc Tuần 28</x:v>
      </x:c>
      <x:c r="F198" s="158" t="str">
        <x:v>Tài liệu/sơ đồ/báo cáo</x:v>
      </x:c>
      <x:c r="G198" s="158" t="str">
        <x:v>Có</x:v>
      </x:c>
      <x:c r="H198" s="158" t="str">
        <x:v>Chưa bắt đầu</x:v>
      </x:c>
      <x:c r="I198" s="245" t="n">
        <x:v>0</x:v>
      </x:c>
      <x:c r="J198" s="158" t="str"/>
      <x:c r="K198" s="158" t="str"/>
      <x:c r="L198" s="194" t="n">
        <x:f>IFERROR(MIN(I198/D198,1),0)</x:f>
        <x:v>0</x:v>
      </x:c>
    </x:row>
    <x:row r="199" ht="56" customHeight="1">
      <x:c r="A199" s="158" t="n">
        <x:v>28</x:v>
      </x:c>
      <x:c r="B199" s="158" t="str">
        <x:v>Tiếng Anh kỹ thuật</x:v>
      </x:c>
      <x:c r="C199" s="158" t="str">
        <x:v>Trình bày Kiến trúc tiếp nhận dữ liệu thị trường bằng tiếng Anh 5–10 phút; ghi âm và tự ghi ba lỗi cần sửa.</x:v>
      </x:c>
      <x:c r="D199" s="245" t="n">
        <x:v>1.5</x:v>
      </x:c>
      <x:c r="E199" s="158" t="str">
        <x:f>"Trang 10 → lọc Tuần "&amp;A199</x:f>
        <x:v>Trang 10 → lọc Tuần 28</x:v>
      </x:c>
      <x:c r="F199" s="158" t="str">
        <x:v>Bản ghi âm và danh sách lỗi</x:v>
      </x:c>
      <x:c r="G199" s="158" t="str">
        <x:v>Có</x:v>
      </x:c>
      <x:c r="H199" s="158" t="str">
        <x:v>Chưa bắt đầu</x:v>
      </x:c>
      <x:c r="I199" s="245" t="n">
        <x:v>0</x:v>
      </x:c>
      <x:c r="J199" s="158" t="str"/>
      <x:c r="K199" s="158" t="str"/>
      <x:c r="L199" s="194" t="n">
        <x:f>IFERROR(MIN(I199/D199,1),0)</x:f>
        <x:v>0</x:v>
      </x:c>
    </x:row>
    <x:row r="200" ht="56" customHeight="1">
      <x:c r="A200" s="158" t="n">
        <x:v>28</x:v>
      </x:c>
      <x:c r="B200" s="158" t="str">
        <x:v>Đánh giá tuần</x:v>
      </x:c>
      <x:c r="C200" s="158" t="str">
        <x:v>Tự kiểm tra 10 câu, đánh giá toàn bộ checklist tuần, chốt tồn đọng và kế hoạch sửa.</x:v>
      </x:c>
      <x:c r="D200" s="245" t="n">
        <x:v>2</x:v>
      </x:c>
      <x:c r="E200" s="158" t="str">
        <x:f>"Trang 10 → lọc Tuần "&amp;A200</x:f>
        <x:v>Trang 10 → lọc Tuần 28</x:v>
      </x:c>
      <x:c r="F200" s="158" t="str">
        <x:v>Điểm tự kiểm tra và retrospective</x:v>
      </x:c>
      <x:c r="G200" s="158" t="str">
        <x:v>Có</x:v>
      </x:c>
      <x:c r="H200" s="158" t="str">
        <x:v>Chưa bắt đầu</x:v>
      </x:c>
      <x:c r="I200" s="245" t="n">
        <x:v>0</x:v>
      </x:c>
      <x:c r="J200" s="158" t="str"/>
      <x:c r="K200" s="158" t="str"/>
      <x:c r="L200" s="194" t="n">
        <x:f>IFERROR(MIN(I200/D200,1),0)</x:f>
        <x:v>0</x:v>
      </x:c>
    </x:row>
    <x:row r="201" ht="56" customHeight="1">
      <x:c r="A201" s="158" t="n">
        <x:v>29</x:v>
      </x:c>
      <x:c r="B201" s="158" t="str">
        <x:v>Học trọng tâm</x:v>
      </x:c>
      <x:c r="C201" s="158" t="str">
        <x:v>Đọc tài liệu R19, R20, R25; tập trung: High-throughput producer, consumer scaling, ordering, deduplication, lag và replay. Ghi lại thuật ngữ, quy tắc và điểm chưa hiểu.</x:v>
      </x:c>
      <x:c r="D201" s="245" t="n">
        <x:v>2.5</x:v>
      </x:c>
      <x:c r="E201" s="158" t="str">
        <x:f>"Trang 10 → lọc Tuần "&amp;A201</x:f>
        <x:v>Trang 10 → lọc Tuần 29</x:v>
      </x:c>
      <x:c r="F201" s="158" t="str">
        <x:v>Ghi chú học tập và danh sách câu hỏi</x:v>
      </x:c>
      <x:c r="G201" s="158" t="str">
        <x:v>Có</x:v>
      </x:c>
      <x:c r="H201" s="158" t="str">
        <x:v>Chưa bắt đầu</x:v>
      </x:c>
      <x:c r="I201" s="245" t="n">
        <x:v>0</x:v>
      </x:c>
      <x:c r="J201" s="158" t="str"/>
      <x:c r="K201" s="158" t="str"/>
      <x:c r="L201" s="194" t="n">
        <x:f>IFERROR(MIN(I201/D201,1),0)</x:f>
        <x:v>0</x:v>
      </x:c>
    </x:row>
    <x:row r="202" ht="56" customHeight="1">
      <x:c r="A202" s="158" t="n">
        <x:v>29</x:v>
      </x:c>
      <x:c r="B202" s="158" t="str">
        <x:v>Ghi chú kiến thức</x:v>
      </x:c>
      <x:c r="C202" s="158" t="str">
        <x:v>Viết bản tóm tắt một trang về Kafka và xử lý luồng giá; nêu ít nhất hai lựa chọn kỹ thuật và trade-off.</x:v>
      </x:c>
      <x:c r="D202" s="245" t="n">
        <x:v>1.5</x:v>
      </x:c>
      <x:c r="E202" s="158" t="str">
        <x:f>"Trang 10 → lọc Tuần "&amp;A202</x:f>
        <x:v>Trang 10 → lọc Tuần 29</x:v>
      </x:c>
      <x:c r="F202" s="158" t="str">
        <x:v>Tóm tắt một trang/ADR ngắn</x:v>
      </x:c>
      <x:c r="G202" s="158" t="str">
        <x:v>Có</x:v>
      </x:c>
      <x:c r="H202" s="158" t="str">
        <x:v>Chưa bắt đầu</x:v>
      </x:c>
      <x:c r="I202" s="245" t="n">
        <x:v>0</x:v>
      </x:c>
      <x:c r="J202" s="158" t="str"/>
      <x:c r="K202" s="158" t="str"/>
      <x:c r="L202" s="194" t="n">
        <x:f>IFERROR(MIN(I202/D202,1),0)</x:f>
        <x:v>0</x:v>
      </x:c>
    </x:row>
    <x:row r="203" ht="56" customHeight="1">
      <x:c r="A203" s="158" t="n">
        <x:v>29</x:v>
      </x:c>
      <x:c r="B203" s="158" t="str">
        <x:v>Xây dựng</x:v>
      </x:c>
      <x:c r="C203" s="158" t="str">
        <x:v>Thực hiện mục tiêu: Xử lý ổn định tối thiểu 10.000 sự kiện giá mô phỏng mỗi phút. Chia commit nhỏ, thông điệp commit rõ ràng.</x:v>
      </x:c>
      <x:c r="D203" s="245" t="n">
        <x:v>4</x:v>
      </x:c>
      <x:c r="E203" s="158" t="str">
        <x:f>"Trang 10 → lọc Tuần "&amp;A203</x:f>
        <x:v>Trang 10 → lọc Tuần 29</x:v>
      </x:c>
      <x:c r="F203" s="158" t="str">
        <x:v>Mã nguồn hoặc cấu hình chạy được</x:v>
      </x:c>
      <x:c r="G203" s="158" t="str">
        <x:v>Có</x:v>
      </x:c>
      <x:c r="H203" s="158" t="str">
        <x:v>Chưa bắt đầu</x:v>
      </x:c>
      <x:c r="I203" s="245" t="n">
        <x:v>0</x:v>
      </x:c>
      <x:c r="J203" s="158" t="str"/>
      <x:c r="K203" s="158" t="str"/>
      <x:c r="L203" s="194" t="n">
        <x:f>IFERROR(MIN(I203/D203,1),0)</x:f>
        <x:v>0</x:v>
      </x:c>
    </x:row>
    <x:row r="204" ht="56" customHeight="1">
      <x:c r="A204" s="158" t="n">
        <x:v>29</x:v>
      </x:c>
      <x:c r="B204" s="158" t="str">
        <x:v>Kiểm thử</x:v>
      </x:c>
      <x:c r="C204" s="158" t="str">
        <x:v>Viết kiểm thử cho ba tiêu chí: Đạt tải mục tiêu với số liệu chứng minh; Không đảo thứ tự giá của cùng symbol trong phạm vi cam kết; Event trùng không làm sai giá cuối.</x:v>
      </x:c>
      <x:c r="D204" s="245" t="n">
        <x:v>2</x:v>
      </x:c>
      <x:c r="E204" s="158" t="str">
        <x:f>"Trang 10 → lọc Tuần "&amp;A204</x:f>
        <x:v>Trang 10 → lọc Tuần 29</x:v>
      </x:c>
      <x:c r="F204" s="158" t="str">
        <x:v>Bộ kiểm thử và kết quả chạy</x:v>
      </x:c>
      <x:c r="G204" s="158" t="str">
        <x:v>Có</x:v>
      </x:c>
      <x:c r="H204" s="158" t="str">
        <x:v>Chưa bắt đầu</x:v>
      </x:c>
      <x:c r="I204" s="245" t="n">
        <x:v>0</x:v>
      </x:c>
      <x:c r="J204" s="158" t="str"/>
      <x:c r="K204" s="158" t="str"/>
      <x:c r="L204" s="194" t="n">
        <x:f>IFERROR(MIN(I204/D204,1),0)</x:f>
        <x:v>0</x:v>
      </x:c>
    </x:row>
    <x:row r="205" ht="56" customHeight="1">
      <x:c r="A205" s="158" t="n">
        <x:v>29</x:v>
      </x:c>
      <x:c r="B205" s="158" t="str">
        <x:v>Tài liệu hóa</x:v>
      </x:c>
      <x:c r="C205" s="158" t="str">
        <x:v>Cập nhật market-data pipeline; throughput report; replay tool; bổ sung sơ đồ hoặc bảng quyết định khi phù hợp.</x:v>
      </x:c>
      <x:c r="D205" s="245" t="n">
        <x:v>1.5</x:v>
      </x:c>
      <x:c r="E205" s="158" t="str">
        <x:f>"Trang 10 → lọc Tuần "&amp;A205</x:f>
        <x:v>Trang 10 → lọc Tuần 29</x:v>
      </x:c>
      <x:c r="F205" s="158" t="str">
        <x:v>Tài liệu/sơ đồ/báo cáo</x:v>
      </x:c>
      <x:c r="G205" s="158" t="str">
        <x:v>Có</x:v>
      </x:c>
      <x:c r="H205" s="158" t="str">
        <x:v>Chưa bắt đầu</x:v>
      </x:c>
      <x:c r="I205" s="245" t="n">
        <x:v>0</x:v>
      </x:c>
      <x:c r="J205" s="158" t="str"/>
      <x:c r="K205" s="158" t="str"/>
      <x:c r="L205" s="194" t="n">
        <x:f>IFERROR(MIN(I205/D205,1),0)</x:f>
        <x:v>0</x:v>
      </x:c>
    </x:row>
    <x:row r="206" ht="56" customHeight="1">
      <x:c r="A206" s="158" t="n">
        <x:v>29</x:v>
      </x:c>
      <x:c r="B206" s="158" t="str">
        <x:v>Tiếng Anh kỹ thuật</x:v>
      </x:c>
      <x:c r="C206" s="158" t="str">
        <x:v>Trình bày Kafka và xử lý luồng giá bằng tiếng Anh 5–10 phút; ghi âm và tự ghi ba lỗi cần sửa.</x:v>
      </x:c>
      <x:c r="D206" s="245" t="n">
        <x:v>1.5</x:v>
      </x:c>
      <x:c r="E206" s="158" t="str">
        <x:f>"Trang 10 → lọc Tuần "&amp;A206</x:f>
        <x:v>Trang 10 → lọc Tuần 29</x:v>
      </x:c>
      <x:c r="F206" s="158" t="str">
        <x:v>Bản ghi âm và danh sách lỗi</x:v>
      </x:c>
      <x:c r="G206" s="158" t="str">
        <x:v>Có</x:v>
      </x:c>
      <x:c r="H206" s="158" t="str">
        <x:v>Chưa bắt đầu</x:v>
      </x:c>
      <x:c r="I206" s="245" t="n">
        <x:v>0</x:v>
      </x:c>
      <x:c r="J206" s="158" t="str"/>
      <x:c r="K206" s="158" t="str"/>
      <x:c r="L206" s="194" t="n">
        <x:f>IFERROR(MIN(I206/D206,1),0)</x:f>
        <x:v>0</x:v>
      </x:c>
    </x:row>
    <x:row r="207" ht="56" customHeight="1">
      <x:c r="A207" s="158" t="n">
        <x:v>29</x:v>
      </x:c>
      <x:c r="B207" s="158" t="str">
        <x:v>Đánh giá tuần</x:v>
      </x:c>
      <x:c r="C207" s="158" t="str">
        <x:v>Tự kiểm tra 10 câu, đánh giá toàn bộ checklist tuần, chốt tồn đọng và kế hoạch sửa.</x:v>
      </x:c>
      <x:c r="D207" s="245" t="n">
        <x:v>2</x:v>
      </x:c>
      <x:c r="E207" s="158" t="str">
        <x:f>"Trang 10 → lọc Tuần "&amp;A207</x:f>
        <x:v>Trang 10 → lọc Tuần 29</x:v>
      </x:c>
      <x:c r="F207" s="158" t="str">
        <x:v>Điểm tự kiểm tra và retrospective</x:v>
      </x:c>
      <x:c r="G207" s="158" t="str">
        <x:v>Có</x:v>
      </x:c>
      <x:c r="H207" s="158" t="str">
        <x:v>Chưa bắt đầu</x:v>
      </x:c>
      <x:c r="I207" s="245" t="n">
        <x:v>0</x:v>
      </x:c>
      <x:c r="J207" s="158" t="str"/>
      <x:c r="K207" s="158" t="str"/>
      <x:c r="L207" s="194" t="n">
        <x:f>IFERROR(MIN(I207/D207,1),0)</x:f>
        <x:v>0</x:v>
      </x:c>
    </x:row>
    <x:row r="208" ht="56" customHeight="1">
      <x:c r="A208" s="158" t="n">
        <x:v>30</x:v>
      </x:c>
      <x:c r="B208" s="158" t="str">
        <x:v>Học trọng tâm</x:v>
      </x:c>
      <x:c r="C208" s="158" t="str">
        <x:v>Đọc tài liệu R17, R28; tập trung: Latest-price cache, pub/sub boundary, WebSocket session, subscription management và slow consumer. Ghi lại thuật ngữ, quy tắc và điểm chưa hiểu.</x:v>
      </x:c>
      <x:c r="D208" s="245" t="n">
        <x:v>2.5</x:v>
      </x:c>
      <x:c r="E208" s="158" t="str">
        <x:f>"Trang 10 → lọc Tuần "&amp;A208</x:f>
        <x:v>Trang 10 → lọc Tuần 30</x:v>
      </x:c>
      <x:c r="F208" s="158" t="str">
        <x:v>Ghi chú học tập và danh sách câu hỏi</x:v>
      </x:c>
      <x:c r="G208" s="158" t="str">
        <x:v>Có</x:v>
      </x:c>
      <x:c r="H208" s="158" t="str">
        <x:v>Chưa bắt đầu</x:v>
      </x:c>
      <x:c r="I208" s="245" t="n">
        <x:v>0</x:v>
      </x:c>
      <x:c r="J208" s="158" t="str"/>
      <x:c r="K208" s="158" t="str"/>
      <x:c r="L208" s="194" t="n">
        <x:f>IFERROR(MIN(I208/D208,1),0)</x:f>
        <x:v>0</x:v>
      </x:c>
    </x:row>
    <x:row r="209" ht="56" customHeight="1">
      <x:c r="A209" s="158" t="n">
        <x:v>30</x:v>
      </x:c>
      <x:c r="B209" s="158" t="str">
        <x:v>Ghi chú kiến thức</x:v>
      </x:c>
      <x:c r="C209" s="158" t="str">
        <x:v>Viết bản tóm tắt một trang về Redis và WebSocket gần thời gian thực; nêu ít nhất hai lựa chọn kỹ thuật và trade-off.</x:v>
      </x:c>
      <x:c r="D209" s="245" t="n">
        <x:v>1.5</x:v>
      </x:c>
      <x:c r="E209" s="158" t="str">
        <x:f>"Trang 10 → lọc Tuần "&amp;A209</x:f>
        <x:v>Trang 10 → lọc Tuần 30</x:v>
      </x:c>
      <x:c r="F209" s="158" t="str">
        <x:v>Tóm tắt một trang/ADR ngắn</x:v>
      </x:c>
      <x:c r="G209" s="158" t="str">
        <x:v>Có</x:v>
      </x:c>
      <x:c r="H209" s="158" t="str">
        <x:v>Chưa bắt đầu</x:v>
      </x:c>
      <x:c r="I209" s="245" t="n">
        <x:v>0</x:v>
      </x:c>
      <x:c r="J209" s="158" t="str"/>
      <x:c r="K209" s="158" t="str"/>
      <x:c r="L209" s="194" t="n">
        <x:f>IFERROR(MIN(I209/D209,1),0)</x:f>
        <x:v>0</x:v>
      </x:c>
    </x:row>
    <x:row r="210" ht="56" customHeight="1">
      <x:c r="A210" s="158" t="n">
        <x:v>30</x:v>
      </x:c>
      <x:c r="B210" s="158" t="str">
        <x:v>Xây dựng</x:v>
      </x:c>
      <x:c r="C210" s="158" t="str">
        <x:v>Thực hiện mục tiêu: Cung cấp giá gần nhất qua REST và cập nhật trực tiếp qua WebSocket. Chia commit nhỏ, thông điệp commit rõ ràng.</x:v>
      </x:c>
      <x:c r="D210" s="245" t="n">
        <x:v>4</x:v>
      </x:c>
      <x:c r="E210" s="158" t="str">
        <x:f>"Trang 10 → lọc Tuần "&amp;A210</x:f>
        <x:v>Trang 10 → lọc Tuần 30</x:v>
      </x:c>
      <x:c r="F210" s="158" t="str">
        <x:v>Mã nguồn hoặc cấu hình chạy được</x:v>
      </x:c>
      <x:c r="G210" s="158" t="str">
        <x:v>Có</x:v>
      </x:c>
      <x:c r="H210" s="158" t="str">
        <x:v>Chưa bắt đầu</x:v>
      </x:c>
      <x:c r="I210" s="245" t="n">
        <x:v>0</x:v>
      </x:c>
      <x:c r="J210" s="158" t="str"/>
      <x:c r="K210" s="158" t="str"/>
      <x:c r="L210" s="194" t="n">
        <x:f>IFERROR(MIN(I210/D210,1),0)</x:f>
        <x:v>0</x:v>
      </x:c>
    </x:row>
    <x:row r="211" ht="56" customHeight="1">
      <x:c r="A211" s="158" t="n">
        <x:v>30</x:v>
      </x:c>
      <x:c r="B211" s="158" t="str">
        <x:v>Kiểm thử</x:v>
      </x:c>
      <x:c r="C211" s="158" t="str">
        <x:v>Viết kiểm thử cho ba tiêu chí: REST trả giá cuối cùng kèm thời điểm dữ liệu; WebSocket chỉ gửi các symbol đã đăng ký; Kết nối chậm không chặn toàn bộ hệ thống.</x:v>
      </x:c>
      <x:c r="D211" s="245" t="n">
        <x:v>2</x:v>
      </x:c>
      <x:c r="E211" s="158" t="str">
        <x:f>"Trang 10 → lọc Tuần "&amp;A211</x:f>
        <x:v>Trang 10 → lọc Tuần 30</x:v>
      </x:c>
      <x:c r="F211" s="158" t="str">
        <x:v>Bộ kiểm thử và kết quả chạy</x:v>
      </x:c>
      <x:c r="G211" s="158" t="str">
        <x:v>Có</x:v>
      </x:c>
      <x:c r="H211" s="158" t="str">
        <x:v>Chưa bắt đầu</x:v>
      </x:c>
      <x:c r="I211" s="245" t="n">
        <x:v>0</x:v>
      </x:c>
      <x:c r="J211" s="158" t="str"/>
      <x:c r="K211" s="158" t="str"/>
      <x:c r="L211" s="194" t="n">
        <x:f>IFERROR(MIN(I211/D211,1),0)</x:f>
        <x:v>0</x:v>
      </x:c>
    </x:row>
    <x:row r="212" ht="56" customHeight="1">
      <x:c r="A212" s="158" t="n">
        <x:v>30</x:v>
      </x:c>
      <x:c r="B212" s="158" t="str">
        <x:v>Tài liệu hóa</x:v>
      </x:c>
      <x:c r="C212" s="158" t="str">
        <x:v>Cập nhật price cache; WebSocket endpoint; subscription tests; latency report; bổ sung sơ đồ hoặc bảng quyết định khi phù hợp.</x:v>
      </x:c>
      <x:c r="D212" s="245" t="n">
        <x:v>1.5</x:v>
      </x:c>
      <x:c r="E212" s="158" t="str">
        <x:f>"Trang 10 → lọc Tuần "&amp;A212</x:f>
        <x:v>Trang 10 → lọc Tuần 30</x:v>
      </x:c>
      <x:c r="F212" s="158" t="str">
        <x:v>Tài liệu/sơ đồ/báo cáo</x:v>
      </x:c>
      <x:c r="G212" s="158" t="str">
        <x:v>Có</x:v>
      </x:c>
      <x:c r="H212" s="158" t="str">
        <x:v>Chưa bắt đầu</x:v>
      </x:c>
      <x:c r="I212" s="245" t="n">
        <x:v>0</x:v>
      </x:c>
      <x:c r="J212" s="158" t="str"/>
      <x:c r="K212" s="158" t="str"/>
      <x:c r="L212" s="194" t="n">
        <x:f>IFERROR(MIN(I212/D212,1),0)</x:f>
        <x:v>0</x:v>
      </x:c>
    </x:row>
    <x:row r="213" ht="56" customHeight="1">
      <x:c r="A213" s="158" t="n">
        <x:v>30</x:v>
      </x:c>
      <x:c r="B213" s="158" t="str">
        <x:v>Tiếng Anh kỹ thuật</x:v>
      </x:c>
      <x:c r="C213" s="158" t="str">
        <x:v>Trình bày Redis và WebSocket gần thời gian thực bằng tiếng Anh 5–10 phút; ghi âm và tự ghi ba lỗi cần sửa.</x:v>
      </x:c>
      <x:c r="D213" s="245" t="n">
        <x:v>1.5</x:v>
      </x:c>
      <x:c r="E213" s="158" t="str">
        <x:f>"Trang 10 → lọc Tuần "&amp;A213</x:f>
        <x:v>Trang 10 → lọc Tuần 30</x:v>
      </x:c>
      <x:c r="F213" s="158" t="str">
        <x:v>Bản ghi âm và danh sách lỗi</x:v>
      </x:c>
      <x:c r="G213" s="158" t="str">
        <x:v>Có</x:v>
      </x:c>
      <x:c r="H213" s="158" t="str">
        <x:v>Chưa bắt đầu</x:v>
      </x:c>
      <x:c r="I213" s="245" t="n">
        <x:v>0</x:v>
      </x:c>
      <x:c r="J213" s="158" t="str"/>
      <x:c r="K213" s="158" t="str"/>
      <x:c r="L213" s="194" t="n">
        <x:f>IFERROR(MIN(I213/D213,1),0)</x:f>
        <x:v>0</x:v>
      </x:c>
    </x:row>
    <x:row r="214" ht="56" customHeight="1">
      <x:c r="A214" s="158" t="n">
        <x:v>30</x:v>
      </x:c>
      <x:c r="B214" s="158" t="str">
        <x:v>Đánh giá tuần</x:v>
      </x:c>
      <x:c r="C214" s="158" t="str">
        <x:v>Tự kiểm tra 10 câu, đánh giá toàn bộ checklist tuần, chốt tồn đọng và kế hoạch sửa.</x:v>
      </x:c>
      <x:c r="D214" s="245" t="n">
        <x:v>2</x:v>
      </x:c>
      <x:c r="E214" s="158" t="str">
        <x:f>"Trang 10 → lọc Tuần "&amp;A214</x:f>
        <x:v>Trang 10 → lọc Tuần 30</x:v>
      </x:c>
      <x:c r="F214" s="158" t="str">
        <x:v>Điểm tự kiểm tra và retrospective</x:v>
      </x:c>
      <x:c r="G214" s="158" t="str">
        <x:v>Có</x:v>
      </x:c>
      <x:c r="H214" s="158" t="str">
        <x:v>Chưa bắt đầu</x:v>
      </x:c>
      <x:c r="I214" s="245" t="n">
        <x:v>0</x:v>
      </x:c>
      <x:c r="J214" s="158" t="str"/>
      <x:c r="K214" s="158" t="str"/>
      <x:c r="L214" s="194" t="n">
        <x:f>IFERROR(MIN(I214/D214,1),0)</x:f>
        <x:v>0</x:v>
      </x:c>
    </x:row>
    <x:row r="215" ht="56" customHeight="1">
      <x:c r="A215" s="158" t="n">
        <x:v>31</x:v>
      </x:c>
      <x:c r="B215" s="158" t="str">
        <x:v>Học trọng tâm</x:v>
      </x:c>
      <x:c r="C215" s="158" t="str">
        <x:v>Đọc tài liệu R07, R09, R17; tập trung: Position aggregation, weighted average cost, valuation, FX boundary và consistency between trades/prices. Ghi lại thuật ngữ, quy tắc và điểm chưa hiểu.</x:v>
      </x:c>
      <x:c r="D215" s="245" t="n">
        <x:v>2.5</x:v>
      </x:c>
      <x:c r="E215" s="158" t="str">
        <x:f>"Trang 10 → lọc Tuần "&amp;A215</x:f>
        <x:v>Trang 10 → lọc Tuần 31</x:v>
      </x:c>
      <x:c r="F215" s="158" t="str">
        <x:v>Ghi chú học tập và danh sách câu hỏi</x:v>
      </x:c>
      <x:c r="G215" s="158" t="str">
        <x:v>Có</x:v>
      </x:c>
      <x:c r="H215" s="158" t="str">
        <x:v>Chưa bắt đầu</x:v>
      </x:c>
      <x:c r="I215" s="245" t="n">
        <x:v>0</x:v>
      </x:c>
      <x:c r="J215" s="158" t="str"/>
      <x:c r="K215" s="158" t="str"/>
      <x:c r="L215" s="194" t="n">
        <x:f>IFERROR(MIN(I215/D215,1),0)</x:f>
        <x:v>0</x:v>
      </x:c>
    </x:row>
    <x:row r="216" ht="56" customHeight="1">
      <x:c r="A216" s="158" t="n">
        <x:v>31</x:v>
      </x:c>
      <x:c r="B216" s="158" t="str">
        <x:v>Ghi chú kiến thức</x:v>
      </x:c>
      <x:c r="C216" s="158" t="str">
        <x:v>Viết bản tóm tắt một trang về Danh mục, vị thế và lãi/lỗ; nêu ít nhất hai lựa chọn kỹ thuật và trade-off.</x:v>
      </x:c>
      <x:c r="D216" s="245" t="n">
        <x:v>1.5</x:v>
      </x:c>
      <x:c r="E216" s="158" t="str">
        <x:f>"Trang 10 → lọc Tuần "&amp;A216</x:f>
        <x:v>Trang 10 → lọc Tuần 31</x:v>
      </x:c>
      <x:c r="F216" s="158" t="str">
        <x:v>Tóm tắt một trang/ADR ngắn</x:v>
      </x:c>
      <x:c r="G216" s="158" t="str">
        <x:v>Có</x:v>
      </x:c>
      <x:c r="H216" s="158" t="str">
        <x:v>Chưa bắt đầu</x:v>
      </x:c>
      <x:c r="I216" s="245" t="n">
        <x:v>0</x:v>
      </x:c>
      <x:c r="J216" s="158" t="str"/>
      <x:c r="K216" s="158" t="str"/>
      <x:c r="L216" s="194" t="n">
        <x:f>IFERROR(MIN(I216/D216,1),0)</x:f>
        <x:v>0</x:v>
      </x:c>
    </x:row>
    <x:row r="217" ht="56" customHeight="1">
      <x:c r="A217" s="158" t="n">
        <x:v>31</x:v>
      </x:c>
      <x:c r="B217" s="158" t="str">
        <x:v>Xây dựng</x:v>
      </x:c>
      <x:c r="C217" s="158" t="str">
        <x:v>Thực hiện mục tiêu: Tính đúng vị thế, giá trị danh mục và lãi/lỗ từ dữ liệu mẫu. Chia commit nhỏ, thông điệp commit rõ ràng.</x:v>
      </x:c>
      <x:c r="D217" s="245" t="n">
        <x:v>4</x:v>
      </x:c>
      <x:c r="E217" s="158" t="str">
        <x:f>"Trang 10 → lọc Tuần "&amp;A217</x:f>
        <x:v>Trang 10 → lọc Tuần 31</x:v>
      </x:c>
      <x:c r="F217" s="158" t="str">
        <x:v>Mã nguồn hoặc cấu hình chạy được</x:v>
      </x:c>
      <x:c r="G217" s="158" t="str">
        <x:v>Có</x:v>
      </x:c>
      <x:c r="H217" s="158" t="str">
        <x:v>Chưa bắt đầu</x:v>
      </x:c>
      <x:c r="I217" s="245" t="n">
        <x:v>0</x:v>
      </x:c>
      <x:c r="J217" s="158" t="str"/>
      <x:c r="K217" s="158" t="str"/>
      <x:c r="L217" s="194" t="n">
        <x:f>IFERROR(MIN(I217/D217,1),0)</x:f>
        <x:v>0</x:v>
      </x:c>
    </x:row>
    <x:row r="218" ht="56" customHeight="1">
      <x:c r="A218" s="158" t="n">
        <x:v>31</x:v>
      </x:c>
      <x:c r="B218" s="158" t="str">
        <x:v>Kiểm thử</x:v>
      </x:c>
      <x:c r="C218" s="158" t="str">
        <x:v>Viết kiểm thử cho ba tiêu chí: Vị thế được suy ra từ giao dịch thay vì sửa tùy ý; Weighted average cost khớp năm kịch bản tính tay; Realized và unrealized P&amp;L không bị trộn.</x:v>
      </x:c>
      <x:c r="D218" s="245" t="n">
        <x:v>2</x:v>
      </x:c>
      <x:c r="E218" s="158" t="str">
        <x:f>"Trang 10 → lọc Tuần "&amp;A218</x:f>
        <x:v>Trang 10 → lọc Tuần 31</x:v>
      </x:c>
      <x:c r="F218" s="158" t="str">
        <x:v>Bộ kiểm thử và kết quả chạy</x:v>
      </x:c>
      <x:c r="G218" s="158" t="str">
        <x:v>Có</x:v>
      </x:c>
      <x:c r="H218" s="158" t="str">
        <x:v>Chưa bắt đầu</x:v>
      </x:c>
      <x:c r="I218" s="245" t="n">
        <x:v>0</x:v>
      </x:c>
      <x:c r="J218" s="158" t="str"/>
      <x:c r="K218" s="158" t="str"/>
      <x:c r="L218" s="194" t="n">
        <x:f>IFERROR(MIN(I218/D218,1),0)</x:f>
        <x:v>0</x:v>
      </x:c>
    </x:row>
    <x:row r="219" ht="56" customHeight="1">
      <x:c r="A219" s="158" t="n">
        <x:v>31</x:v>
      </x:c>
      <x:c r="B219" s="158" t="str">
        <x:v>Tài liệu hóa</x:v>
      </x:c>
      <x:c r="C219" s="158" t="str">
        <x:v>Cập nhật portfolio service; calculation tests; reconciliation report; bổ sung sơ đồ hoặc bảng quyết định khi phù hợp.</x:v>
      </x:c>
      <x:c r="D219" s="245" t="n">
        <x:v>1.5</x:v>
      </x:c>
      <x:c r="E219" s="158" t="str">
        <x:f>"Trang 10 → lọc Tuần "&amp;A219</x:f>
        <x:v>Trang 10 → lọc Tuần 31</x:v>
      </x:c>
      <x:c r="F219" s="158" t="str">
        <x:v>Tài liệu/sơ đồ/báo cáo</x:v>
      </x:c>
      <x:c r="G219" s="158" t="str">
        <x:v>Có</x:v>
      </x:c>
      <x:c r="H219" s="158" t="str">
        <x:v>Chưa bắt đầu</x:v>
      </x:c>
      <x:c r="I219" s="245" t="n">
        <x:v>0</x:v>
      </x:c>
      <x:c r="J219" s="158" t="str"/>
      <x:c r="K219" s="158" t="str"/>
      <x:c r="L219" s="194" t="n">
        <x:f>IFERROR(MIN(I219/D219,1),0)</x:f>
        <x:v>0</x:v>
      </x:c>
    </x:row>
    <x:row r="220" ht="56" customHeight="1">
      <x:c r="A220" s="158" t="n">
        <x:v>31</x:v>
      </x:c>
      <x:c r="B220" s="158" t="str">
        <x:v>Tiếng Anh kỹ thuật</x:v>
      </x:c>
      <x:c r="C220" s="158" t="str">
        <x:v>Trình bày Danh mục, vị thế và lãi/lỗ bằng tiếng Anh 5–10 phút; ghi âm và tự ghi ba lỗi cần sửa.</x:v>
      </x:c>
      <x:c r="D220" s="245" t="n">
        <x:v>1.5</x:v>
      </x:c>
      <x:c r="E220" s="158" t="str">
        <x:f>"Trang 10 → lọc Tuần "&amp;A220</x:f>
        <x:v>Trang 10 → lọc Tuần 31</x:v>
      </x:c>
      <x:c r="F220" s="158" t="str">
        <x:v>Bản ghi âm và danh sách lỗi</x:v>
      </x:c>
      <x:c r="G220" s="158" t="str">
        <x:v>Có</x:v>
      </x:c>
      <x:c r="H220" s="158" t="str">
        <x:v>Chưa bắt đầu</x:v>
      </x:c>
      <x:c r="I220" s="245" t="n">
        <x:v>0</x:v>
      </x:c>
      <x:c r="J220" s="158" t="str"/>
      <x:c r="K220" s="158" t="str"/>
      <x:c r="L220" s="194" t="n">
        <x:f>IFERROR(MIN(I220/D220,1),0)</x:f>
        <x:v>0</x:v>
      </x:c>
    </x:row>
    <x:row r="221" ht="56" customHeight="1">
      <x:c r="A221" s="158" t="n">
        <x:v>31</x:v>
      </x:c>
      <x:c r="B221" s="158" t="str">
        <x:v>Đánh giá tuần</x:v>
      </x:c>
      <x:c r="C221" s="158" t="str">
        <x:v>Tự kiểm tra 10 câu, đánh giá toàn bộ checklist tuần, chốt tồn đọng và kế hoạch sửa.</x:v>
      </x:c>
      <x:c r="D221" s="245" t="n">
        <x:v>2</x:v>
      </x:c>
      <x:c r="E221" s="158" t="str">
        <x:f>"Trang 10 → lọc Tuần "&amp;A221</x:f>
        <x:v>Trang 10 → lọc Tuần 31</x:v>
      </x:c>
      <x:c r="F221" s="158" t="str">
        <x:v>Điểm tự kiểm tra và retrospective</x:v>
      </x:c>
      <x:c r="G221" s="158" t="str">
        <x:v>Có</x:v>
      </x:c>
      <x:c r="H221" s="158" t="str">
        <x:v>Chưa bắt đầu</x:v>
      </x:c>
      <x:c r="I221" s="245" t="n">
        <x:v>0</x:v>
      </x:c>
      <x:c r="J221" s="158" t="str"/>
      <x:c r="K221" s="158" t="str"/>
      <x:c r="L221" s="194" t="n">
        <x:f>IFERROR(MIN(I221/D221,1),0)</x:f>
        <x:v>0</x:v>
      </x:c>
    </x:row>
    <x:row r="222" ht="56" customHeight="1">
      <x:c r="A222" s="158" t="n">
        <x:v>32</x:v>
      </x:c>
      <x:c r="B222" s="158" t="str">
        <x:v>Học trọng tâm</x:v>
      </x:c>
      <x:c r="C222" s="158" t="str">
        <x:v>Đọc tài liệu R21, R22, R25, R31, R35; tập trung: Failure injection, stale data, reconnect, replay, observability, cloud deployment và demo narrative. Ghi lại thuật ngữ, quy tắc và điểm chưa hiểu.</x:v>
      </x:c>
      <x:c r="D222" s="245" t="n">
        <x:v>2.5</x:v>
      </x:c>
      <x:c r="E222" s="158" t="str">
        <x:f>"Trang 10 → lọc Tuần "&amp;A222</x:f>
        <x:v>Trang 10 → lọc Tuần 32</x:v>
      </x:c>
      <x:c r="F222" s="158" t="str">
        <x:v>Ghi chú học tập và danh sách câu hỏi</x:v>
      </x:c>
      <x:c r="G222" s="158" t="str">
        <x:v>Có</x:v>
      </x:c>
      <x:c r="H222" s="158" t="str">
        <x:v>Chưa bắt đầu</x:v>
      </x:c>
      <x:c r="I222" s="245" t="n">
        <x:v>0</x:v>
      </x:c>
      <x:c r="J222" s="158" t="str"/>
      <x:c r="K222" s="158" t="str"/>
      <x:c r="L222" s="194" t="n">
        <x:f>IFERROR(MIN(I222/D222,1),0)</x:f>
        <x:v>0</x:v>
      </x:c>
    </x:row>
    <x:row r="223" ht="56" customHeight="1">
      <x:c r="A223" s="158" t="n">
        <x:v>32</x:v>
      </x:c>
      <x:c r="B223" s="158" t="str">
        <x:v>Ghi chú kiến thức</x:v>
      </x:c>
      <x:c r="C223" s="158" t="str">
        <x:v>Viết bản tóm tắt một trang về Chịu lỗi, kiểm thử tải và triển khai dự án 2; nêu ít nhất hai lựa chọn kỹ thuật và trade-off.</x:v>
      </x:c>
      <x:c r="D223" s="245" t="n">
        <x:v>1.5</x:v>
      </x:c>
      <x:c r="E223" s="158" t="str">
        <x:f>"Trang 10 → lọc Tuần "&amp;A223</x:f>
        <x:v>Trang 10 → lọc Tuần 32</x:v>
      </x:c>
      <x:c r="F223" s="158" t="str">
        <x:v>Tóm tắt một trang/ADR ngắn</x:v>
      </x:c>
      <x:c r="G223" s="158" t="str">
        <x:v>Có</x:v>
      </x:c>
      <x:c r="H223" s="158" t="str">
        <x:v>Chưa bắt đầu</x:v>
      </x:c>
      <x:c r="I223" s="245" t="n">
        <x:v>0</x:v>
      </x:c>
      <x:c r="J223" s="158" t="str"/>
      <x:c r="K223" s="158" t="str"/>
      <x:c r="L223" s="194" t="n">
        <x:f>IFERROR(MIN(I223/D223,1),0)</x:f>
        <x:v>0</x:v>
      </x:c>
    </x:row>
    <x:row r="224" ht="56" customHeight="1">
      <x:c r="A224" s="158" t="n">
        <x:v>32</x:v>
      </x:c>
      <x:c r="B224" s="158" t="str">
        <x:v>Xây dựng</x:v>
      </x:c>
      <x:c r="C224" s="158" t="str">
        <x:v>Thực hiện mục tiêu: Triển khai bản dùng thử ổn định và trình diễn dữ liệu thời gian thực. Chia commit nhỏ, thông điệp commit rõ ràng.</x:v>
      </x:c>
      <x:c r="D224" s="245" t="n">
        <x:v>4</x:v>
      </x:c>
      <x:c r="E224" s="158" t="str">
        <x:f>"Trang 10 → lọc Tuần "&amp;A224</x:f>
        <x:v>Trang 10 → lọc Tuần 32</x:v>
      </x:c>
      <x:c r="F224" s="158" t="str">
        <x:v>Mã nguồn hoặc cấu hình chạy được</x:v>
      </x:c>
      <x:c r="G224" s="158" t="str">
        <x:v>Có</x:v>
      </x:c>
      <x:c r="H224" s="158" t="str">
        <x:v>Chưa bắt đầu</x:v>
      </x:c>
      <x:c r="I224" s="245" t="n">
        <x:v>0</x:v>
      </x:c>
      <x:c r="J224" s="158" t="str"/>
      <x:c r="K224" s="158" t="str"/>
      <x:c r="L224" s="194" t="n">
        <x:f>IFERROR(MIN(I224/D224,1),0)</x:f>
        <x:v>0</x:v>
      </x:c>
    </x:row>
    <x:row r="225" ht="56" customHeight="1">
      <x:c r="A225" s="158" t="n">
        <x:v>32</x:v>
      </x:c>
      <x:c r="B225" s="158" t="str">
        <x:v>Kiểm thử</x:v>
      </x:c>
      <x:c r="C225" s="158" t="str">
        <x:v>Viết kiểm thử cho ba tiêu chí: Dừng consumer rồi khởi động lại không làm sai trạng thái cuối; Redis lỗi không làm mất nguồn dữ liệu chuẩn; WebSocket tự kết nối lại theo chiến lược có giới hạn.</x:v>
      </x:c>
      <x:c r="D225" s="245" t="n">
        <x:v>2</x:v>
      </x:c>
      <x:c r="E225" s="158" t="str">
        <x:f>"Trang 10 → lọc Tuần "&amp;A225</x:f>
        <x:v>Trang 10 → lọc Tuần 32</x:v>
      </x:c>
      <x:c r="F225" s="158" t="str">
        <x:v>Bộ kiểm thử và kết quả chạy</x:v>
      </x:c>
      <x:c r="G225" s="158" t="str">
        <x:v>Có</x:v>
      </x:c>
      <x:c r="H225" s="158" t="str">
        <x:v>Chưa bắt đầu</x:v>
      </x:c>
      <x:c r="I225" s="245" t="n">
        <x:v>0</x:v>
      </x:c>
      <x:c r="J225" s="158" t="str"/>
      <x:c r="K225" s="158" t="str"/>
      <x:c r="L225" s="194" t="n">
        <x:f>IFERROR(MIN(I225/D225,1),0)</x:f>
        <x:v>0</x:v>
      </x:c>
    </x:row>
    <x:row r="226" ht="56" customHeight="1">
      <x:c r="A226" s="158" t="n">
        <x:v>32</x:v>
      </x:c>
      <x:c r="B226" s="158" t="str">
        <x:v>Tài liệu hóa</x:v>
      </x:c>
      <x:c r="C226" s="158" t="str">
        <x:v>Cập nhật deployment URL; dashboards; load/failure report; English README; demo; bổ sung sơ đồ hoặc bảng quyết định khi phù hợp.</x:v>
      </x:c>
      <x:c r="D226" s="245" t="n">
        <x:v>1.5</x:v>
      </x:c>
      <x:c r="E226" s="158" t="str">
        <x:f>"Trang 10 → lọc Tuần "&amp;A226</x:f>
        <x:v>Trang 10 → lọc Tuần 32</x:v>
      </x:c>
      <x:c r="F226" s="158" t="str">
        <x:v>Tài liệu/sơ đồ/báo cáo</x:v>
      </x:c>
      <x:c r="G226" s="158" t="str">
        <x:v>Có</x:v>
      </x:c>
      <x:c r="H226" s="158" t="str">
        <x:v>Chưa bắt đầu</x:v>
      </x:c>
      <x:c r="I226" s="245" t="n">
        <x:v>0</x:v>
      </x:c>
      <x:c r="J226" s="158" t="str"/>
      <x:c r="K226" s="158" t="str"/>
      <x:c r="L226" s="194" t="n">
        <x:f>IFERROR(MIN(I226/D226,1),0)</x:f>
        <x:v>0</x:v>
      </x:c>
    </x:row>
    <x:row r="227" ht="56" customHeight="1">
      <x:c r="A227" s="158" t="n">
        <x:v>32</x:v>
      </x:c>
      <x:c r="B227" s="158" t="str">
        <x:v>Tiếng Anh kỹ thuật</x:v>
      </x:c>
      <x:c r="C227" s="158" t="str">
        <x:v>Trình bày Chịu lỗi, kiểm thử tải và triển khai dự án 2 bằng tiếng Anh 5–10 phút; ghi âm và tự ghi ba lỗi cần sửa.</x:v>
      </x:c>
      <x:c r="D227" s="245" t="n">
        <x:v>1.5</x:v>
      </x:c>
      <x:c r="E227" s="158" t="str">
        <x:f>"Trang 10 → lọc Tuần "&amp;A227</x:f>
        <x:v>Trang 10 → lọc Tuần 32</x:v>
      </x:c>
      <x:c r="F227" s="158" t="str">
        <x:v>Bản ghi âm và danh sách lỗi</x:v>
      </x:c>
      <x:c r="G227" s="158" t="str">
        <x:v>Có</x:v>
      </x:c>
      <x:c r="H227" s="158" t="str">
        <x:v>Chưa bắt đầu</x:v>
      </x:c>
      <x:c r="I227" s="245" t="n">
        <x:v>0</x:v>
      </x:c>
      <x:c r="J227" s="158" t="str"/>
      <x:c r="K227" s="158" t="str"/>
      <x:c r="L227" s="194" t="n">
        <x:f>IFERROR(MIN(I227/D227,1),0)</x:f>
        <x:v>0</x:v>
      </x:c>
    </x:row>
    <x:row r="228" ht="56" customHeight="1">
      <x:c r="A228" s="158" t="n">
        <x:v>32</x:v>
      </x:c>
      <x:c r="B228" s="158" t="str">
        <x:v>Đánh giá tuần</x:v>
      </x:c>
      <x:c r="C228" s="158" t="str">
        <x:v>Tự kiểm tra 10 câu, đánh giá toàn bộ checklist tuần, chốt tồn đọng và kế hoạch sửa.</x:v>
      </x:c>
      <x:c r="D228" s="245" t="n">
        <x:v>2</x:v>
      </x:c>
      <x:c r="E228" s="158" t="str">
        <x:f>"Trang 10 → lọc Tuần "&amp;A228</x:f>
        <x:v>Trang 10 → lọc Tuần 32</x:v>
      </x:c>
      <x:c r="F228" s="158" t="str">
        <x:v>Điểm tự kiểm tra và retrospective</x:v>
      </x:c>
      <x:c r="G228" s="158" t="str">
        <x:v>Có</x:v>
      </x:c>
      <x:c r="H228" s="158" t="str">
        <x:v>Chưa bắt đầu</x:v>
      </x:c>
      <x:c r="I228" s="245" t="n">
        <x:v>0</x:v>
      </x:c>
      <x:c r="J228" s="158" t="str"/>
      <x:c r="K228" s="158" t="str"/>
      <x:c r="L228" s="194" t="n">
        <x:f>IFERROR(MIN(I228/D228,1),0)</x:f>
        <x:v>0</x:v>
      </x:c>
    </x:row>
    <x:row r="229" ht="56" customHeight="1">
      <x:c r="A229" s="158" t="n">
        <x:v>33</x:v>
      </x:c>
      <x:c r="B229" s="158" t="str">
        <x:v>Học trọng tâm</x:v>
      </x:c>
      <x:c r="C229" s="158" t="str">
        <x:v>Đọc tài liệu R33, R26, R27; tập trung: Requirement clarification, capacity estimate, API/data model, consistency, security, failure handling và trade-off. Ghi lại thuật ngữ, quy tắc và điểm chưa hiểu.</x:v>
      </x:c>
      <x:c r="D229" s="245" t="n">
        <x:v>2.5</x:v>
      </x:c>
      <x:c r="E229" s="158" t="str">
        <x:f>"Trang 10 → lọc Tuần "&amp;A229</x:f>
        <x:v>Trang 10 → lọc Tuần 33</x:v>
      </x:c>
      <x:c r="F229" s="158" t="str">
        <x:v>Ghi chú học tập và danh sách câu hỏi</x:v>
      </x:c>
      <x:c r="G229" s="158" t="str">
        <x:v>Có</x:v>
      </x:c>
      <x:c r="H229" s="158" t="str">
        <x:v>Chưa bắt đầu</x:v>
      </x:c>
      <x:c r="I229" s="245" t="n">
        <x:v>0</x:v>
      </x:c>
      <x:c r="J229" s="158" t="str"/>
      <x:c r="K229" s="158" t="str"/>
      <x:c r="L229" s="194" t="n">
        <x:f>IFERROR(MIN(I229/D229,1),0)</x:f>
        <x:v>0</x:v>
      </x:c>
    </x:row>
    <x:row r="230" ht="56" customHeight="1">
      <x:c r="A230" s="158" t="n">
        <x:v>33</x:v>
      </x:c>
      <x:c r="B230" s="158" t="str">
        <x:v>Ghi chú kiến thức</x:v>
      </x:c>
      <x:c r="C230" s="158" t="str">
        <x:v>Viết bản tóm tắt một trang về Thiết kế hệ thống ngân hàng; nêu ít nhất hai lựa chọn kỹ thuật và trade-off.</x:v>
      </x:c>
      <x:c r="D230" s="245" t="n">
        <x:v>1.5</x:v>
      </x:c>
      <x:c r="E230" s="158" t="str">
        <x:f>"Trang 10 → lọc Tuần "&amp;A230</x:f>
        <x:v>Trang 10 → lọc Tuần 33</x:v>
      </x:c>
      <x:c r="F230" s="158" t="str">
        <x:v>Tóm tắt một trang/ADR ngắn</x:v>
      </x:c>
      <x:c r="G230" s="158" t="str">
        <x:v>Có</x:v>
      </x:c>
      <x:c r="H230" s="158" t="str">
        <x:v>Chưa bắt đầu</x:v>
      </x:c>
      <x:c r="I230" s="245" t="n">
        <x:v>0</x:v>
      </x:c>
      <x:c r="J230" s="158" t="str"/>
      <x:c r="K230" s="158" t="str"/>
      <x:c r="L230" s="194" t="n">
        <x:f>IFERROR(MIN(I230/D230,1),0)</x:f>
        <x:v>0</x:v>
      </x:c>
    </x:row>
    <x:row r="231" ht="56" customHeight="1">
      <x:c r="A231" s="158" t="n">
        <x:v>33</x:v>
      </x:c>
      <x:c r="B231" s="158" t="str">
        <x:v>Xây dựng</x:v>
      </x:c>
      <x:c r="C231" s="158" t="str">
        <x:v>Thực hiện mục tiêu: Hoàn thành ba bài thiết kế: chuyển tiền, sổ cái và đối soát. Chia commit nhỏ, thông điệp commit rõ ràng.</x:v>
      </x:c>
      <x:c r="D231" s="245" t="n">
        <x:v>4</x:v>
      </x:c>
      <x:c r="E231" s="158" t="str">
        <x:f>"Trang 10 → lọc Tuần "&amp;A231</x:f>
        <x:v>Trang 10 → lọc Tuần 33</x:v>
      </x:c>
      <x:c r="F231" s="158" t="str">
        <x:v>Mã nguồn hoặc cấu hình chạy được</x:v>
      </x:c>
      <x:c r="G231" s="158" t="str">
        <x:v>Có</x:v>
      </x:c>
      <x:c r="H231" s="158" t="str">
        <x:v>Chưa bắt đầu</x:v>
      </x:c>
      <x:c r="I231" s="245" t="n">
        <x:v>0</x:v>
      </x:c>
      <x:c r="J231" s="158" t="str"/>
      <x:c r="K231" s="158" t="str"/>
      <x:c r="L231" s="194" t="n">
        <x:f>IFERROR(MIN(I231/D231,1),0)</x:f>
        <x:v>0</x:v>
      </x:c>
    </x:row>
    <x:row r="232" ht="56" customHeight="1">
      <x:c r="A232" s="158" t="n">
        <x:v>33</x:v>
      </x:c>
      <x:c r="B232" s="158" t="str">
        <x:v>Kiểm thử</x:v>
      </x:c>
      <x:c r="C232" s="158" t="str">
        <x:v>Viết kiểm thử cho ba tiêu chí: Mỗi bài bắt đầu bằng yêu cầu chức năng và phi chức năng; Có ước lượng tải và dung lượng ở mức hợp lý; Lựa chọn consistency được giải thích.</x:v>
      </x:c>
      <x:c r="D232" s="245" t="n">
        <x:v>2</x:v>
      </x:c>
      <x:c r="E232" s="158" t="str">
        <x:f>"Trang 10 → lọc Tuần "&amp;A232</x:f>
        <x:v>Trang 10 → lọc Tuần 33</x:v>
      </x:c>
      <x:c r="F232" s="158" t="str">
        <x:v>Bộ kiểm thử và kết quả chạy</x:v>
      </x:c>
      <x:c r="G232" s="158" t="str">
        <x:v>Có</x:v>
      </x:c>
      <x:c r="H232" s="158" t="str">
        <x:v>Chưa bắt đầu</x:v>
      </x:c>
      <x:c r="I232" s="245" t="n">
        <x:v>0</x:v>
      </x:c>
      <x:c r="J232" s="158" t="str"/>
      <x:c r="K232" s="158" t="str"/>
      <x:c r="L232" s="194" t="n">
        <x:f>IFERROR(MIN(I232/D232,1),0)</x:f>
        <x:v>0</x:v>
      </x:c>
    </x:row>
    <x:row r="233" ht="56" customHeight="1">
      <x:c r="A233" s="158" t="n">
        <x:v>33</x:v>
      </x:c>
      <x:c r="B233" s="158" t="str">
        <x:v>Tài liệu hóa</x:v>
      </x:c>
      <x:c r="C233" s="158" t="str">
        <x:v>Cập nhật 3 design packets; 3 recordings; feedback log; bổ sung sơ đồ hoặc bảng quyết định khi phù hợp.</x:v>
      </x:c>
      <x:c r="D233" s="245" t="n">
        <x:v>1.5</x:v>
      </x:c>
      <x:c r="E233" s="158" t="str">
        <x:f>"Trang 10 → lọc Tuần "&amp;A233</x:f>
        <x:v>Trang 10 → lọc Tuần 33</x:v>
      </x:c>
      <x:c r="F233" s="158" t="str">
        <x:v>Tài liệu/sơ đồ/báo cáo</x:v>
      </x:c>
      <x:c r="G233" s="158" t="str">
        <x:v>Có</x:v>
      </x:c>
      <x:c r="H233" s="158" t="str">
        <x:v>Chưa bắt đầu</x:v>
      </x:c>
      <x:c r="I233" s="245" t="n">
        <x:v>0</x:v>
      </x:c>
      <x:c r="J233" s="158" t="str"/>
      <x:c r="K233" s="158" t="str"/>
      <x:c r="L233" s="194" t="n">
        <x:f>IFERROR(MIN(I233/D233,1),0)</x:f>
        <x:v>0</x:v>
      </x:c>
    </x:row>
    <x:row r="234" ht="56" customHeight="1">
      <x:c r="A234" s="158" t="n">
        <x:v>33</x:v>
      </x:c>
      <x:c r="B234" s="158" t="str">
        <x:v>Tiếng Anh kỹ thuật</x:v>
      </x:c>
      <x:c r="C234" s="158" t="str">
        <x:v>Trình bày Thiết kế hệ thống ngân hàng bằng tiếng Anh 5–10 phút; ghi âm và tự ghi ba lỗi cần sửa.</x:v>
      </x:c>
      <x:c r="D234" s="245" t="n">
        <x:v>1.5</x:v>
      </x:c>
      <x:c r="E234" s="158" t="str">
        <x:f>"Trang 10 → lọc Tuần "&amp;A234</x:f>
        <x:v>Trang 10 → lọc Tuần 33</x:v>
      </x:c>
      <x:c r="F234" s="158" t="str">
        <x:v>Bản ghi âm và danh sách lỗi</x:v>
      </x:c>
      <x:c r="G234" s="158" t="str">
        <x:v>Có</x:v>
      </x:c>
      <x:c r="H234" s="158" t="str">
        <x:v>Chưa bắt đầu</x:v>
      </x:c>
      <x:c r="I234" s="245" t="n">
        <x:v>0</x:v>
      </x:c>
      <x:c r="J234" s="158" t="str"/>
      <x:c r="K234" s="158" t="str"/>
      <x:c r="L234" s="194" t="n">
        <x:f>IFERROR(MIN(I234/D234,1),0)</x:f>
        <x:v>0</x:v>
      </x:c>
    </x:row>
    <x:row r="235" ht="56" customHeight="1">
      <x:c r="A235" s="158" t="n">
        <x:v>33</x:v>
      </x:c>
      <x:c r="B235" s="158" t="str">
        <x:v>Đánh giá tuần</x:v>
      </x:c>
      <x:c r="C235" s="158" t="str">
        <x:v>Tự kiểm tra 10 câu, đánh giá toàn bộ checklist tuần, chốt tồn đọng và kế hoạch sửa.</x:v>
      </x:c>
      <x:c r="D235" s="245" t="n">
        <x:v>2</x:v>
      </x:c>
      <x:c r="E235" s="158" t="str">
        <x:f>"Trang 10 → lọc Tuần "&amp;A235</x:f>
        <x:v>Trang 10 → lọc Tuần 33</x:v>
      </x:c>
      <x:c r="F235" s="158" t="str">
        <x:v>Điểm tự kiểm tra và retrospective</x:v>
      </x:c>
      <x:c r="G235" s="158" t="str">
        <x:v>Có</x:v>
      </x:c>
      <x:c r="H235" s="158" t="str">
        <x:v>Chưa bắt đầu</x:v>
      </x:c>
      <x:c r="I235" s="245" t="n">
        <x:v>0</x:v>
      </x:c>
      <x:c r="J235" s="158" t="str"/>
      <x:c r="K235" s="158" t="str"/>
      <x:c r="L235" s="194" t="n">
        <x:f>IFERROR(MIN(I235/D235,1),0)</x:f>
        <x:v>0</x:v>
      </x:c>
    </x:row>
    <x:row r="236" ht="56" customHeight="1">
      <x:c r="A236" s="158" t="n">
        <x:v>34</x:v>
      </x:c>
      <x:c r="B236" s="158" t="str">
        <x:v>Học trọng tâm</x:v>
      </x:c>
      <x:c r="C236" s="158" t="str">
        <x:v>Đọc tài liệu R33, R19, R17, R31; tập trung: Market data, notification, rate limiter, event pipeline, multi-region boundary và observability. Ghi lại thuật ngữ, quy tắc và điểm chưa hiểu.</x:v>
      </x:c>
      <x:c r="D236" s="245" t="n">
        <x:v>2.5</x:v>
      </x:c>
      <x:c r="E236" s="158" t="str">
        <x:f>"Trang 10 → lọc Tuần "&amp;A236</x:f>
        <x:v>Trang 10 → lọc Tuần 34</x:v>
      </x:c>
      <x:c r="F236" s="158" t="str">
        <x:v>Ghi chú học tập và danh sách câu hỏi</x:v>
      </x:c>
      <x:c r="G236" s="158" t="str">
        <x:v>Có</x:v>
      </x:c>
      <x:c r="H236" s="158" t="str">
        <x:v>Chưa bắt đầu</x:v>
      </x:c>
      <x:c r="I236" s="245" t="n">
        <x:v>0</x:v>
      </x:c>
      <x:c r="J236" s="158" t="str"/>
      <x:c r="K236" s="158" t="str"/>
      <x:c r="L236" s="194" t="n">
        <x:f>IFERROR(MIN(I236/D236,1),0)</x:f>
        <x:v>0</x:v>
      </x:c>
    </x:row>
    <x:row r="237" ht="56" customHeight="1">
      <x:c r="A237" s="158" t="n">
        <x:v>34</x:v>
      </x:c>
      <x:c r="B237" s="158" t="str">
        <x:v>Ghi chú kiến thức</x:v>
      </x:c>
      <x:c r="C237" s="158" t="str">
        <x:v>Viết bản tóm tắt một trang về Thiết kế hệ thống phân tán; nêu ít nhất hai lựa chọn kỹ thuật và trade-off.</x:v>
      </x:c>
      <x:c r="D237" s="245" t="n">
        <x:v>1.5</x:v>
      </x:c>
      <x:c r="E237" s="158" t="str">
        <x:f>"Trang 10 → lọc Tuần "&amp;A237</x:f>
        <x:v>Trang 10 → lọc Tuần 34</x:v>
      </x:c>
      <x:c r="F237" s="158" t="str">
        <x:v>Tóm tắt một trang/ADR ngắn</x:v>
      </x:c>
      <x:c r="G237" s="158" t="str">
        <x:v>Có</x:v>
      </x:c>
      <x:c r="H237" s="158" t="str">
        <x:v>Chưa bắt đầu</x:v>
      </x:c>
      <x:c r="I237" s="245" t="n">
        <x:v>0</x:v>
      </x:c>
      <x:c r="J237" s="158" t="str"/>
      <x:c r="K237" s="158" t="str"/>
      <x:c r="L237" s="194" t="n">
        <x:f>IFERROR(MIN(I237/D237,1),0)</x:f>
        <x:v>0</x:v>
      </x:c>
    </x:row>
    <x:row r="238" ht="56" customHeight="1">
      <x:c r="A238" s="158" t="n">
        <x:v>34</x:v>
      </x:c>
      <x:c r="B238" s="158" t="str">
        <x:v>Xây dựng</x:v>
      </x:c>
      <x:c r="C238" s="158" t="str">
        <x:v>Thực hiện mục tiêu: Hoàn thành ba bài thiết kế hệ thống phân tán bằng tiếng Anh. Chia commit nhỏ, thông điệp commit rõ ràng.</x:v>
      </x:c>
      <x:c r="D238" s="245" t="n">
        <x:v>4</x:v>
      </x:c>
      <x:c r="E238" s="158" t="str">
        <x:f>"Trang 10 → lọc Tuần "&amp;A238</x:f>
        <x:v>Trang 10 → lọc Tuần 34</x:v>
      </x:c>
      <x:c r="F238" s="158" t="str">
        <x:v>Mã nguồn hoặc cấu hình chạy được</x:v>
      </x:c>
      <x:c r="G238" s="158" t="str">
        <x:v>Có</x:v>
      </x:c>
      <x:c r="H238" s="158" t="str">
        <x:v>Chưa bắt đầu</x:v>
      </x:c>
      <x:c r="I238" s="245" t="n">
        <x:v>0</x:v>
      </x:c>
      <x:c r="J238" s="158" t="str"/>
      <x:c r="K238" s="158" t="str"/>
      <x:c r="L238" s="194" t="n">
        <x:f>IFERROR(MIN(I238/D238,1),0)</x:f>
        <x:v>0</x:v>
      </x:c>
    </x:row>
    <x:row r="239" ht="56" customHeight="1">
      <x:c r="A239" s="158" t="n">
        <x:v>34</x:v>
      </x:c>
      <x:c r="B239" s="158" t="str">
        <x:v>Kiểm thử</x:v>
      </x:c>
      <x:c r="C239" s="158" t="str">
        <x:v>Viết kiểm thử cho ba tiêu chí: Giải thích được partitioning và scaling strategy; Nêu rõ failure mode và biện pháp phục hồi; Không dùng công nghệ chỉ vì xu hướng.</x:v>
      </x:c>
      <x:c r="D239" s="245" t="n">
        <x:v>2</x:v>
      </x:c>
      <x:c r="E239" s="158" t="str">
        <x:f>"Trang 10 → lọc Tuần "&amp;A239</x:f>
        <x:v>Trang 10 → lọc Tuần 34</x:v>
      </x:c>
      <x:c r="F239" s="158" t="str">
        <x:v>Bộ kiểm thử và kết quả chạy</x:v>
      </x:c>
      <x:c r="G239" s="158" t="str">
        <x:v>Có</x:v>
      </x:c>
      <x:c r="H239" s="158" t="str">
        <x:v>Chưa bắt đầu</x:v>
      </x:c>
      <x:c r="I239" s="245" t="n">
        <x:v>0</x:v>
      </x:c>
      <x:c r="J239" s="158" t="str"/>
      <x:c r="K239" s="158" t="str"/>
      <x:c r="L239" s="194" t="n">
        <x:f>IFERROR(MIN(I239/D239,1),0)</x:f>
        <x:v>0</x:v>
      </x:c>
    </x:row>
    <x:row r="240" ht="56" customHeight="1">
      <x:c r="A240" s="158" t="n">
        <x:v>34</x:v>
      </x:c>
      <x:c r="B240" s="158" t="str">
        <x:v>Tài liệu hóa</x:v>
      </x:c>
      <x:c r="C240" s="158" t="str">
        <x:v>Cập nhật 3 English design packets; recordings; trade-off matrix; bổ sung sơ đồ hoặc bảng quyết định khi phù hợp.</x:v>
      </x:c>
      <x:c r="D240" s="245" t="n">
        <x:v>1.5</x:v>
      </x:c>
      <x:c r="E240" s="158" t="str">
        <x:f>"Trang 10 → lọc Tuần "&amp;A240</x:f>
        <x:v>Trang 10 → lọc Tuần 34</x:v>
      </x:c>
      <x:c r="F240" s="158" t="str">
        <x:v>Tài liệu/sơ đồ/báo cáo</x:v>
      </x:c>
      <x:c r="G240" s="158" t="str">
        <x:v>Có</x:v>
      </x:c>
      <x:c r="H240" s="158" t="str">
        <x:v>Chưa bắt đầu</x:v>
      </x:c>
      <x:c r="I240" s="245" t="n">
        <x:v>0</x:v>
      </x:c>
      <x:c r="J240" s="158" t="str"/>
      <x:c r="K240" s="158" t="str"/>
      <x:c r="L240" s="194" t="n">
        <x:f>IFERROR(MIN(I240/D240,1),0)</x:f>
        <x:v>0</x:v>
      </x:c>
    </x:row>
    <x:row r="241" ht="56" customHeight="1">
      <x:c r="A241" s="158" t="n">
        <x:v>34</x:v>
      </x:c>
      <x:c r="B241" s="158" t="str">
        <x:v>Tiếng Anh kỹ thuật</x:v>
      </x:c>
      <x:c r="C241" s="158" t="str">
        <x:v>Trình bày Thiết kế hệ thống phân tán bằng tiếng Anh 5–10 phút; ghi âm và tự ghi ba lỗi cần sửa.</x:v>
      </x:c>
      <x:c r="D241" s="245" t="n">
        <x:v>1.5</x:v>
      </x:c>
      <x:c r="E241" s="158" t="str">
        <x:f>"Trang 10 → lọc Tuần "&amp;A241</x:f>
        <x:v>Trang 10 → lọc Tuần 34</x:v>
      </x:c>
      <x:c r="F241" s="158" t="str">
        <x:v>Bản ghi âm và danh sách lỗi</x:v>
      </x:c>
      <x:c r="G241" s="158" t="str">
        <x:v>Có</x:v>
      </x:c>
      <x:c r="H241" s="158" t="str">
        <x:v>Chưa bắt đầu</x:v>
      </x:c>
      <x:c r="I241" s="245" t="n">
        <x:v>0</x:v>
      </x:c>
      <x:c r="J241" s="158" t="str"/>
      <x:c r="K241" s="158" t="str"/>
      <x:c r="L241" s="194" t="n">
        <x:f>IFERROR(MIN(I241/D241,1),0)</x:f>
        <x:v>0</x:v>
      </x:c>
    </x:row>
    <x:row r="242" ht="56" customHeight="1">
      <x:c r="A242" s="158" t="n">
        <x:v>34</x:v>
      </x:c>
      <x:c r="B242" s="158" t="str">
        <x:v>Đánh giá tuần</x:v>
      </x:c>
      <x:c r="C242" s="158" t="str">
        <x:v>Tự kiểm tra 10 câu, đánh giá toàn bộ checklist tuần, chốt tồn đọng và kế hoạch sửa.</x:v>
      </x:c>
      <x:c r="D242" s="245" t="n">
        <x:v>2</x:v>
      </x:c>
      <x:c r="E242" s="158" t="str">
        <x:f>"Trang 10 → lọc Tuần "&amp;A242</x:f>
        <x:v>Trang 10 → lọc Tuần 34</x:v>
      </x:c>
      <x:c r="F242" s="158" t="str">
        <x:v>Điểm tự kiểm tra và retrospective</x:v>
      </x:c>
      <x:c r="G242" s="158" t="str">
        <x:v>Có</x:v>
      </x:c>
      <x:c r="H242" s="158" t="str">
        <x:v>Chưa bắt đầu</x:v>
      </x:c>
      <x:c r="I242" s="245" t="n">
        <x:v>0</x:v>
      </x:c>
      <x:c r="J242" s="158" t="str"/>
      <x:c r="K242" s="158" t="str"/>
      <x:c r="L242" s="194" t="n">
        <x:f>IFERROR(MIN(I242/D242,1),0)</x:f>
        <x:v>0</x:v>
      </x:c>
    </x:row>
    <x:row r="243" ht="56" customHeight="1">
      <x:c r="A243" s="158" t="n">
        <x:v>35</x:v>
      </x:c>
      <x:c r="B243" s="158" t="str">
        <x:v>Học trọng tâm</x:v>
      </x:c>
      <x:c r="C243" s="158" t="str">
        <x:v>Đọc tài liệu R34, R07, R08; tập trung: Array/hash, two pointers, sliding window, tree/graph, concurrency coding, SQL window function và query tuning. Ghi lại thuật ngữ, quy tắc và điểm chưa hiểu.</x:v>
      </x:c>
      <x:c r="D243" s="245" t="n">
        <x:v>2.5</x:v>
      </x:c>
      <x:c r="E243" s="158" t="str">
        <x:f>"Trang 10 → lọc Tuần "&amp;A243</x:f>
        <x:v>Trang 10 → lọc Tuần 35</x:v>
      </x:c>
      <x:c r="F243" s="158" t="str">
        <x:v>Ghi chú học tập và danh sách câu hỏi</x:v>
      </x:c>
      <x:c r="G243" s="158" t="str">
        <x:v>Có</x:v>
      </x:c>
      <x:c r="H243" s="158" t="str">
        <x:v>Chưa bắt đầu</x:v>
      </x:c>
      <x:c r="I243" s="245" t="n">
        <x:v>0</x:v>
      </x:c>
      <x:c r="J243" s="158" t="str"/>
      <x:c r="K243" s="158" t="str"/>
      <x:c r="L243" s="194" t="n">
        <x:f>IFERROR(MIN(I243/D243,1),0)</x:f>
        <x:v>0</x:v>
      </x:c>
    </x:row>
    <x:row r="244" ht="56" customHeight="1">
      <x:c r="A244" s="158" t="n">
        <x:v>35</x:v>
      </x:c>
      <x:c r="B244" s="158" t="str">
        <x:v>Ghi chú kiến thức</x:v>
      </x:c>
      <x:c r="C244" s="158" t="str">
        <x:v>Viết bản tóm tắt một trang về Thuật toán, SQL và lập trình trực tiếp; nêu ít nhất hai lựa chọn kỹ thuật và trade-off.</x:v>
      </x:c>
      <x:c r="D244" s="245" t="n">
        <x:v>1.5</x:v>
      </x:c>
      <x:c r="E244" s="158" t="str">
        <x:f>"Trang 10 → lọc Tuần "&amp;A244</x:f>
        <x:v>Trang 10 → lọc Tuần 35</x:v>
      </x:c>
      <x:c r="F244" s="158" t="str">
        <x:v>Tóm tắt một trang/ADR ngắn</x:v>
      </x:c>
      <x:c r="G244" s="158" t="str">
        <x:v>Có</x:v>
      </x:c>
      <x:c r="H244" s="158" t="str">
        <x:v>Chưa bắt đầu</x:v>
      </x:c>
      <x:c r="I244" s="245" t="n">
        <x:v>0</x:v>
      </x:c>
      <x:c r="J244" s="158" t="str"/>
      <x:c r="K244" s="158" t="str"/>
      <x:c r="L244" s="194" t="n">
        <x:f>IFERROR(MIN(I244/D244,1),0)</x:f>
        <x:v>0</x:v>
      </x:c>
    </x:row>
    <x:row r="245" ht="56" customHeight="1">
      <x:c r="A245" s="158" t="n">
        <x:v>35</x:v>
      </x:c>
      <x:c r="B245" s="158" t="str">
        <x:v>Xây dựng</x:v>
      </x:c>
      <x:c r="C245" s="158" t="str">
        <x:v>Thực hiện mục tiêu: Hoàn thành 12 bài mức trung bình, 4 bài SQL và hai phiên lập trình trực tiếp. Chia commit nhỏ, thông điệp commit rõ ràng.</x:v>
      </x:c>
      <x:c r="D245" s="245" t="n">
        <x:v>4</x:v>
      </x:c>
      <x:c r="E245" s="158" t="str">
        <x:f>"Trang 10 → lọc Tuần "&amp;A245</x:f>
        <x:v>Trang 10 → lọc Tuần 35</x:v>
      </x:c>
      <x:c r="F245" s="158" t="str">
        <x:v>Mã nguồn hoặc cấu hình chạy được</x:v>
      </x:c>
      <x:c r="G245" s="158" t="str">
        <x:v>Có</x:v>
      </x:c>
      <x:c r="H245" s="158" t="str">
        <x:v>Chưa bắt đầu</x:v>
      </x:c>
      <x:c r="I245" s="245" t="n">
        <x:v>0</x:v>
      </x:c>
      <x:c r="J245" s="158" t="str"/>
      <x:c r="K245" s="158" t="str"/>
      <x:c r="L245" s="194" t="n">
        <x:f>IFERROR(MIN(I245/D245,1),0)</x:f>
        <x:v>0</x:v>
      </x:c>
    </x:row>
    <x:row r="246" ht="56" customHeight="1">
      <x:c r="A246" s="158" t="n">
        <x:v>35</x:v>
      </x:c>
      <x:c r="B246" s="158" t="str">
        <x:v>Kiểm thử</x:v>
      </x:c>
      <x:c r="C246" s="158" t="str">
        <x:v>Viết kiểm thử cho ba tiêu chí: Ít nhất 10/12 bài thuật toán đạt trong 40 phút; Giải thích được độ phức tạp thời gian và bộ nhớ; Không viết mã trước khi làm rõ yêu cầu.</x:v>
      </x:c>
      <x:c r="D246" s="245" t="n">
        <x:v>2</x:v>
      </x:c>
      <x:c r="E246" s="158" t="str">
        <x:f>"Trang 10 → lọc Tuần "&amp;A246</x:f>
        <x:v>Trang 10 → lọc Tuần 35</x:v>
      </x:c>
      <x:c r="F246" s="158" t="str">
        <x:v>Bộ kiểm thử và kết quả chạy</x:v>
      </x:c>
      <x:c r="G246" s="158" t="str">
        <x:v>Có</x:v>
      </x:c>
      <x:c r="H246" s="158" t="str">
        <x:v>Chưa bắt đầu</x:v>
      </x:c>
      <x:c r="I246" s="245" t="n">
        <x:v>0</x:v>
      </x:c>
      <x:c r="J246" s="158" t="str"/>
      <x:c r="K246" s="158" t="str"/>
      <x:c r="L246" s="194" t="n">
        <x:f>IFERROR(MIN(I246/D246,1),0)</x:f>
        <x:v>0</x:v>
      </x:c>
    </x:row>
    <x:row r="247" ht="56" customHeight="1">
      <x:c r="A247" s="158" t="n">
        <x:v>35</x:v>
      </x:c>
      <x:c r="B247" s="158" t="str">
        <x:v>Tài liệu hóa</x:v>
      </x:c>
      <x:c r="C247" s="158" t="str">
        <x:v>Cập nhật solution log; timing data; SQL scripts; mock recordings; bổ sung sơ đồ hoặc bảng quyết định khi phù hợp.</x:v>
      </x:c>
      <x:c r="D247" s="245" t="n">
        <x:v>1.5</x:v>
      </x:c>
      <x:c r="E247" s="158" t="str">
        <x:f>"Trang 10 → lọc Tuần "&amp;A247</x:f>
        <x:v>Trang 10 → lọc Tuần 35</x:v>
      </x:c>
      <x:c r="F247" s="158" t="str">
        <x:v>Tài liệu/sơ đồ/báo cáo</x:v>
      </x:c>
      <x:c r="G247" s="158" t="str">
        <x:v>Có</x:v>
      </x:c>
      <x:c r="H247" s="158" t="str">
        <x:v>Chưa bắt đầu</x:v>
      </x:c>
      <x:c r="I247" s="245" t="n">
        <x:v>0</x:v>
      </x:c>
      <x:c r="J247" s="158" t="str"/>
      <x:c r="K247" s="158" t="str"/>
      <x:c r="L247" s="194" t="n">
        <x:f>IFERROR(MIN(I247/D247,1),0)</x:f>
        <x:v>0</x:v>
      </x:c>
    </x:row>
    <x:row r="248" ht="56" customHeight="1">
      <x:c r="A248" s="158" t="n">
        <x:v>35</x:v>
      </x:c>
      <x:c r="B248" s="158" t="str">
        <x:v>Tiếng Anh kỹ thuật</x:v>
      </x:c>
      <x:c r="C248" s="158" t="str">
        <x:v>Trình bày Thuật toán, SQL và lập trình trực tiếp bằng tiếng Anh 5–10 phút; ghi âm và tự ghi ba lỗi cần sửa.</x:v>
      </x:c>
      <x:c r="D248" s="245" t="n">
        <x:v>1.5</x:v>
      </x:c>
      <x:c r="E248" s="158" t="str">
        <x:f>"Trang 10 → lọc Tuần "&amp;A248</x:f>
        <x:v>Trang 10 → lọc Tuần 35</x:v>
      </x:c>
      <x:c r="F248" s="158" t="str">
        <x:v>Bản ghi âm và danh sách lỗi</x:v>
      </x:c>
      <x:c r="G248" s="158" t="str">
        <x:v>Có</x:v>
      </x:c>
      <x:c r="H248" s="158" t="str">
        <x:v>Chưa bắt đầu</x:v>
      </x:c>
      <x:c r="I248" s="245" t="n">
        <x:v>0</x:v>
      </x:c>
      <x:c r="J248" s="158" t="str"/>
      <x:c r="K248" s="158" t="str"/>
      <x:c r="L248" s="194" t="n">
        <x:f>IFERROR(MIN(I248/D248,1),0)</x:f>
        <x:v>0</x:v>
      </x:c>
    </x:row>
    <x:row r="249" ht="56" customHeight="1">
      <x:c r="A249" s="158" t="n">
        <x:v>35</x:v>
      </x:c>
      <x:c r="B249" s="158" t="str">
        <x:v>Đánh giá tuần</x:v>
      </x:c>
      <x:c r="C249" s="158" t="str">
        <x:v>Tự kiểm tra 10 câu, đánh giá toàn bộ checklist tuần, chốt tồn đọng và kế hoạch sửa.</x:v>
      </x:c>
      <x:c r="D249" s="245" t="n">
        <x:v>2</x:v>
      </x:c>
      <x:c r="E249" s="158" t="str">
        <x:f>"Trang 10 → lọc Tuần "&amp;A249</x:f>
        <x:v>Trang 10 → lọc Tuần 35</x:v>
      </x:c>
      <x:c r="F249" s="158" t="str">
        <x:v>Điểm tự kiểm tra và retrospective</x:v>
      </x:c>
      <x:c r="G249" s="158" t="str">
        <x:v>Có</x:v>
      </x:c>
      <x:c r="H249" s="158" t="str">
        <x:v>Chưa bắt đầu</x:v>
      </x:c>
      <x:c r="I249" s="245" t="n">
        <x:v>0</x:v>
      </x:c>
      <x:c r="J249" s="158" t="str"/>
      <x:c r="K249" s="158" t="str"/>
      <x:c r="L249" s="194" t="n">
        <x:f>IFERROR(MIN(I249/D249,1),0)</x:f>
        <x:v>0</x:v>
      </x:c>
    </x:row>
    <x:row r="250" ht="56" customHeight="1">
      <x:c r="A250" s="158" t="n">
        <x:v>36</x:v>
      </x:c>
      <x:c r="B250" s="158" t="str">
        <x:v>Học trọng tâm</x:v>
      </x:c>
      <x:c r="C250" s="158" t="str">
        <x:v>Đọc tài liệu R35; tập trung: Architecture vocabulary, clarification, disagreement, incident narrative, ownership, estimation và mentoring. Ghi lại thuật ngữ, quy tắc và điểm chưa hiểu.</x:v>
      </x:c>
      <x:c r="D250" s="245" t="n">
        <x:v>2.5</x:v>
      </x:c>
      <x:c r="E250" s="158" t="str">
        <x:f>"Trang 10 → lọc Tuần "&amp;A250</x:f>
        <x:v>Trang 10 → lọc Tuần 36</x:v>
      </x:c>
      <x:c r="F250" s="158" t="str">
        <x:v>Ghi chú học tập và danh sách câu hỏi</x:v>
      </x:c>
      <x:c r="G250" s="158" t="str">
        <x:v>Có</x:v>
      </x:c>
      <x:c r="H250" s="158" t="str">
        <x:v>Chưa bắt đầu</x:v>
      </x:c>
      <x:c r="I250" s="245" t="n">
        <x:v>0</x:v>
      </x:c>
      <x:c r="J250" s="158" t="str"/>
      <x:c r="K250" s="158" t="str"/>
      <x:c r="L250" s="194" t="n">
        <x:f>IFERROR(MIN(I250/D250,1),0)</x:f>
        <x:v>0</x:v>
      </x:c>
    </x:row>
    <x:row r="251" ht="56" customHeight="1">
      <x:c r="A251" s="158" t="n">
        <x:v>36</x:v>
      </x:c>
      <x:c r="B251" s="158" t="str">
        <x:v>Ghi chú kiến thức</x:v>
      </x:c>
      <x:c r="C251" s="158" t="str">
        <x:v>Viết bản tóm tắt một trang về Tiếng Anh kỹ thuật và câu chuyện Senior; nêu ít nhất hai lựa chọn kỹ thuật và trade-off.</x:v>
      </x:c>
      <x:c r="D251" s="245" t="n">
        <x:v>1.5</x:v>
      </x:c>
      <x:c r="E251" s="158" t="str">
        <x:f>"Trang 10 → lọc Tuần "&amp;A251</x:f>
        <x:v>Trang 10 → lọc Tuần 36</x:v>
      </x:c>
      <x:c r="F251" s="158" t="str">
        <x:v>Tóm tắt một trang/ADR ngắn</x:v>
      </x:c>
      <x:c r="G251" s="158" t="str">
        <x:v>Có</x:v>
      </x:c>
      <x:c r="H251" s="158" t="str">
        <x:v>Chưa bắt đầu</x:v>
      </x:c>
      <x:c r="I251" s="245" t="n">
        <x:v>0</x:v>
      </x:c>
      <x:c r="J251" s="158" t="str"/>
      <x:c r="K251" s="158" t="str"/>
      <x:c r="L251" s="194" t="n">
        <x:f>IFERROR(MIN(I251/D251,1),0)</x:f>
        <x:v>0</x:v>
      </x:c>
    </x:row>
    <x:row r="252" ht="56" customHeight="1">
      <x:c r="A252" s="158" t="n">
        <x:v>36</x:v>
      </x:c>
      <x:c r="B252" s="158" t="str">
        <x:v>Xây dựng</x:v>
      </x:c>
      <x:c r="C252" s="158" t="str">
        <x:v>Thực hiện mục tiêu: Chuẩn hóa sáu câu chuyện STAR và thực hiện ba buổi phỏng vấn hành vi. Chia commit nhỏ, thông điệp commit rõ ràng.</x:v>
      </x:c>
      <x:c r="D252" s="245" t="n">
        <x:v>4</x:v>
      </x:c>
      <x:c r="E252" s="158" t="str">
        <x:f>"Trang 10 → lọc Tuần "&amp;A252</x:f>
        <x:v>Trang 10 → lọc Tuần 36</x:v>
      </x:c>
      <x:c r="F252" s="158" t="str">
        <x:v>Mã nguồn hoặc cấu hình chạy được</x:v>
      </x:c>
      <x:c r="G252" s="158" t="str">
        <x:v>Có</x:v>
      </x:c>
      <x:c r="H252" s="158" t="str">
        <x:v>Chưa bắt đầu</x:v>
      </x:c>
      <x:c r="I252" s="245" t="n">
        <x:v>0</x:v>
      </x:c>
      <x:c r="J252" s="158" t="str"/>
      <x:c r="K252" s="158" t="str"/>
      <x:c r="L252" s="194" t="n">
        <x:f>IFERROR(MIN(I252/D252,1),0)</x:f>
        <x:v>0</x:v>
      </x:c>
    </x:row>
    <x:row r="253" ht="56" customHeight="1">
      <x:c r="A253" s="158" t="n">
        <x:v>36</x:v>
      </x:c>
      <x:c r="B253" s="158" t="str">
        <x:v>Kiểm thử</x:v>
      </x:c>
      <x:c r="C253" s="158" t="str">
        <x:v>Viết kiểm thử cho ba tiêu chí: Có sáu câu chuyện không trùng hoàn toàn về năng lực; Mỗi câu chuyện nêu rõ hành động cá nhân; Kết quả có số liệu hoặc bằng chứng cụ thể khi có.</x:v>
      </x:c>
      <x:c r="D253" s="245" t="n">
        <x:v>2</x:v>
      </x:c>
      <x:c r="E253" s="158" t="str">
        <x:f>"Trang 10 → lọc Tuần "&amp;A253</x:f>
        <x:v>Trang 10 → lọc Tuần 36</x:v>
      </x:c>
      <x:c r="F253" s="158" t="str">
        <x:v>Bộ kiểm thử và kết quả chạy</x:v>
      </x:c>
      <x:c r="G253" s="158" t="str">
        <x:v>Có</x:v>
      </x:c>
      <x:c r="H253" s="158" t="str">
        <x:v>Chưa bắt đầu</x:v>
      </x:c>
      <x:c r="I253" s="245" t="n">
        <x:v>0</x:v>
      </x:c>
      <x:c r="J253" s="158" t="str"/>
      <x:c r="K253" s="158" t="str"/>
      <x:c r="L253" s="194" t="n">
        <x:f>IFERROR(MIN(I253/D253,1),0)</x:f>
        <x:v>0</x:v>
      </x:c>
    </x:row>
    <x:row r="254" ht="56" customHeight="1">
      <x:c r="A254" s="158" t="n">
        <x:v>36</x:v>
      </x:c>
      <x:c r="B254" s="158" t="str">
        <x:v>Tài liệu hóa</x:v>
      </x:c>
      <x:c r="C254" s="158" t="str">
        <x:v>Cập nhật STAR story bank; glossary; 3 recordings; feedback sheet; bổ sung sơ đồ hoặc bảng quyết định khi phù hợp.</x:v>
      </x:c>
      <x:c r="D254" s="245" t="n">
        <x:v>1.5</x:v>
      </x:c>
      <x:c r="E254" s="158" t="str">
        <x:f>"Trang 10 → lọc Tuần "&amp;A254</x:f>
        <x:v>Trang 10 → lọc Tuần 36</x:v>
      </x:c>
      <x:c r="F254" s="158" t="str">
        <x:v>Tài liệu/sơ đồ/báo cáo</x:v>
      </x:c>
      <x:c r="G254" s="158" t="str">
        <x:v>Có</x:v>
      </x:c>
      <x:c r="H254" s="158" t="str">
        <x:v>Chưa bắt đầu</x:v>
      </x:c>
      <x:c r="I254" s="245" t="n">
        <x:v>0</x:v>
      </x:c>
      <x:c r="J254" s="158" t="str"/>
      <x:c r="K254" s="158" t="str"/>
      <x:c r="L254" s="194" t="n">
        <x:f>IFERROR(MIN(I254/D254,1),0)</x:f>
        <x:v>0</x:v>
      </x:c>
    </x:row>
    <x:row r="255" ht="56" customHeight="1">
      <x:c r="A255" s="158" t="n">
        <x:v>36</x:v>
      </x:c>
      <x:c r="B255" s="158" t="str">
        <x:v>Tiếng Anh kỹ thuật</x:v>
      </x:c>
      <x:c r="C255" s="158" t="str">
        <x:v>Trình bày Tiếng Anh kỹ thuật và câu chuyện Senior bằng tiếng Anh 5–10 phút; ghi âm và tự ghi ba lỗi cần sửa.</x:v>
      </x:c>
      <x:c r="D255" s="245" t="n">
        <x:v>1.5</x:v>
      </x:c>
      <x:c r="E255" s="158" t="str">
        <x:f>"Trang 10 → lọc Tuần "&amp;A255</x:f>
        <x:v>Trang 10 → lọc Tuần 36</x:v>
      </x:c>
      <x:c r="F255" s="158" t="str">
        <x:v>Bản ghi âm và danh sách lỗi</x:v>
      </x:c>
      <x:c r="G255" s="158" t="str">
        <x:v>Có</x:v>
      </x:c>
      <x:c r="H255" s="158" t="str">
        <x:v>Chưa bắt đầu</x:v>
      </x:c>
      <x:c r="I255" s="245" t="n">
        <x:v>0</x:v>
      </x:c>
      <x:c r="J255" s="158" t="str"/>
      <x:c r="K255" s="158" t="str"/>
      <x:c r="L255" s="194" t="n">
        <x:f>IFERROR(MIN(I255/D255,1),0)</x:f>
        <x:v>0</x:v>
      </x:c>
    </x:row>
    <x:row r="256" ht="56" customHeight="1">
      <x:c r="A256" s="158" t="n">
        <x:v>36</x:v>
      </x:c>
      <x:c r="B256" s="158" t="str">
        <x:v>Đánh giá tuần</x:v>
      </x:c>
      <x:c r="C256" s="158" t="str">
        <x:v>Tự kiểm tra 10 câu, đánh giá toàn bộ checklist tuần, chốt tồn đọng và kế hoạch sửa.</x:v>
      </x:c>
      <x:c r="D256" s="245" t="n">
        <x:v>2</x:v>
      </x:c>
      <x:c r="E256" s="158" t="str">
        <x:f>"Trang 10 → lọc Tuần "&amp;A256</x:f>
        <x:v>Trang 10 → lọc Tuần 36</x:v>
      </x:c>
      <x:c r="F256" s="158" t="str">
        <x:v>Điểm tự kiểm tra và retrospective</x:v>
      </x:c>
      <x:c r="G256" s="158" t="str">
        <x:v>Có</x:v>
      </x:c>
      <x:c r="H256" s="158" t="str">
        <x:v>Chưa bắt đầu</x:v>
      </x:c>
      <x:c r="I256" s="245" t="n">
        <x:v>0</x:v>
      </x:c>
      <x:c r="J256" s="158" t="str"/>
      <x:c r="K256" s="158" t="str"/>
      <x:c r="L256" s="194" t="n">
        <x:f>IFERROR(MIN(I256/D256,1),0)</x:f>
        <x:v>0</x:v>
      </x:c>
    </x:row>
    <x:row r="257" ht="56" customHeight="1">
      <x:c r="A257" s="158" t="n">
        <x:v>37</x:v>
      </x:c>
      <x:c r="B257" s="158" t="str">
        <x:v>Học trọng tâm</x:v>
      </x:c>
      <x:c r="C257" s="158" t="str">
        <x:v>Đọc tài liệu R35; tập trung: Evidence-based CV, project storytelling, repository hygiene, English README và role positioning. Ghi lại thuật ngữ, quy tắc và điểm chưa hiểu.</x:v>
      </x:c>
      <x:c r="D257" s="245" t="n">
        <x:v>2.5</x:v>
      </x:c>
      <x:c r="E257" s="158" t="str">
        <x:f>"Trang 10 → lọc Tuần "&amp;A257</x:f>
        <x:v>Trang 10 → lọc Tuần 37</x:v>
      </x:c>
      <x:c r="F257" s="158" t="str">
        <x:v>Ghi chú học tập và danh sách câu hỏi</x:v>
      </x:c>
      <x:c r="G257" s="158" t="str">
        <x:v>Có</x:v>
      </x:c>
      <x:c r="H257" s="158" t="str">
        <x:v>Chưa bắt đầu</x:v>
      </x:c>
      <x:c r="I257" s="245" t="n">
        <x:v>0</x:v>
      </x:c>
      <x:c r="J257" s="158" t="str"/>
      <x:c r="K257" s="158" t="str"/>
      <x:c r="L257" s="194" t="n">
        <x:f>IFERROR(MIN(I257/D257,1),0)</x:f>
        <x:v>0</x:v>
      </x:c>
    </x:row>
    <x:row r="258" ht="56" customHeight="1">
      <x:c r="A258" s="158" t="n">
        <x:v>37</x:v>
      </x:c>
      <x:c r="B258" s="158" t="str">
        <x:v>Ghi chú kiến thức</x:v>
      </x:c>
      <x:c r="C258" s="158" t="str">
        <x:v>Viết bản tóm tắt một trang về GitHub, CV và hồ sơ nghề nghiệp; nêu ít nhất hai lựa chọn kỹ thuật và trade-off.</x:v>
      </x:c>
      <x:c r="D258" s="245" t="n">
        <x:v>1.5</x:v>
      </x:c>
      <x:c r="E258" s="158" t="str">
        <x:f>"Trang 10 → lọc Tuần "&amp;A258</x:f>
        <x:v>Trang 10 → lọc Tuần 37</x:v>
      </x:c>
      <x:c r="F258" s="158" t="str">
        <x:v>Tóm tắt một trang/ADR ngắn</x:v>
      </x:c>
      <x:c r="G258" s="158" t="str">
        <x:v>Có</x:v>
      </x:c>
      <x:c r="H258" s="158" t="str">
        <x:v>Chưa bắt đầu</x:v>
      </x:c>
      <x:c r="I258" s="245" t="n">
        <x:v>0</x:v>
      </x:c>
      <x:c r="J258" s="158" t="str"/>
      <x:c r="K258" s="158" t="str"/>
      <x:c r="L258" s="194" t="n">
        <x:f>IFERROR(MIN(I258/D258,1),0)</x:f>
        <x:v>0</x:v>
      </x:c>
    </x:row>
    <x:row r="259" ht="56" customHeight="1">
      <x:c r="A259" s="158" t="n">
        <x:v>37</x:v>
      </x:c>
      <x:c r="B259" s="158" t="str">
        <x:v>Xây dựng</x:v>
      </x:c>
      <x:c r="C259" s="158" t="str">
        <x:v>Thực hiện mục tiêu: Hoàn thiện bộ hồ sơ Senior Java Backend chuyên hệ thống tài chính. Chia commit nhỏ, thông điệp commit rõ ràng.</x:v>
      </x:c>
      <x:c r="D259" s="245" t="n">
        <x:v>4</x:v>
      </x:c>
      <x:c r="E259" s="158" t="str">
        <x:f>"Trang 10 → lọc Tuần "&amp;A259</x:f>
        <x:v>Trang 10 → lọc Tuần 37</x:v>
      </x:c>
      <x:c r="F259" s="158" t="str">
        <x:v>Mã nguồn hoặc cấu hình chạy được</x:v>
      </x:c>
      <x:c r="G259" s="158" t="str">
        <x:v>Có</x:v>
      </x:c>
      <x:c r="H259" s="158" t="str">
        <x:v>Chưa bắt đầu</x:v>
      </x:c>
      <x:c r="I259" s="245" t="n">
        <x:v>0</x:v>
      </x:c>
      <x:c r="J259" s="158" t="str"/>
      <x:c r="K259" s="158" t="str"/>
      <x:c r="L259" s="194" t="n">
        <x:f>IFERROR(MIN(I259/D259,1),0)</x:f>
        <x:v>0</x:v>
      </x:c>
    </x:row>
    <x:row r="260" ht="56" customHeight="1">
      <x:c r="A260" s="158" t="n">
        <x:v>37</x:v>
      </x:c>
      <x:c r="B260" s="158" t="str">
        <x:v>Kiểm thử</x:v>
      </x:c>
      <x:c r="C260" s="158" t="str">
        <x:v>Viết kiểm thử cho ba tiêu chí: Tiêu đề hồ sơ nhất quán với Senior Java Backend; Thành tích công việc dùng động từ và kết quả cụ thể; Hai dự án có README, sơ đồ, demo và hướng dẫn chạy.</x:v>
      </x:c>
      <x:c r="D260" s="245" t="n">
        <x:v>2</x:v>
      </x:c>
      <x:c r="E260" s="158" t="str">
        <x:f>"Trang 10 → lọc Tuần "&amp;A260</x:f>
        <x:v>Trang 10 → lọc Tuần 37</x:v>
      </x:c>
      <x:c r="F260" s="158" t="str">
        <x:v>Bộ kiểm thử và kết quả chạy</x:v>
      </x:c>
      <x:c r="G260" s="158" t="str">
        <x:v>Có</x:v>
      </x:c>
      <x:c r="H260" s="158" t="str">
        <x:v>Chưa bắt đầu</x:v>
      </x:c>
      <x:c r="I260" s="245" t="n">
        <x:v>0</x:v>
      </x:c>
      <x:c r="J260" s="158" t="str"/>
      <x:c r="K260" s="158" t="str"/>
      <x:c r="L260" s="194" t="n">
        <x:f>IFERROR(MIN(I260/D260,1),0)</x:f>
        <x:v>0</x:v>
      </x:c>
    </x:row>
    <x:row r="261" ht="56" customHeight="1">
      <x:c r="A261" s="158" t="n">
        <x:v>37</x:v>
      </x:c>
      <x:c r="B261" s="158" t="str">
        <x:v>Tài liệu hóa</x:v>
      </x:c>
      <x:c r="C261" s="158" t="str">
        <x:v>Cập nhật English CV; Vietnamese CV; LinkedIn draft; 2 pinned repositories; bổ sung sơ đồ hoặc bảng quyết định khi phù hợp.</x:v>
      </x:c>
      <x:c r="D261" s="245" t="n">
        <x:v>1.5</x:v>
      </x:c>
      <x:c r="E261" s="158" t="str">
        <x:f>"Trang 10 → lọc Tuần "&amp;A261</x:f>
        <x:v>Trang 10 → lọc Tuần 37</x:v>
      </x:c>
      <x:c r="F261" s="158" t="str">
        <x:v>Tài liệu/sơ đồ/báo cáo</x:v>
      </x:c>
      <x:c r="G261" s="158" t="str">
        <x:v>Có</x:v>
      </x:c>
      <x:c r="H261" s="158" t="str">
        <x:v>Chưa bắt đầu</x:v>
      </x:c>
      <x:c r="I261" s="245" t="n">
        <x:v>0</x:v>
      </x:c>
      <x:c r="J261" s="158" t="str"/>
      <x:c r="K261" s="158" t="str"/>
      <x:c r="L261" s="194" t="n">
        <x:f>IFERROR(MIN(I261/D261,1),0)</x:f>
        <x:v>0</x:v>
      </x:c>
    </x:row>
    <x:row r="262" ht="56" customHeight="1">
      <x:c r="A262" s="158" t="n">
        <x:v>37</x:v>
      </x:c>
      <x:c r="B262" s="158" t="str">
        <x:v>Tiếng Anh kỹ thuật</x:v>
      </x:c>
      <x:c r="C262" s="158" t="str">
        <x:v>Trình bày GitHub, CV và hồ sơ nghề nghiệp bằng tiếng Anh 5–10 phút; ghi âm và tự ghi ba lỗi cần sửa.</x:v>
      </x:c>
      <x:c r="D262" s="245" t="n">
        <x:v>1.5</x:v>
      </x:c>
      <x:c r="E262" s="158" t="str">
        <x:f>"Trang 10 → lọc Tuần "&amp;A262</x:f>
        <x:v>Trang 10 → lọc Tuần 37</x:v>
      </x:c>
      <x:c r="F262" s="158" t="str">
        <x:v>Bản ghi âm và danh sách lỗi</x:v>
      </x:c>
      <x:c r="G262" s="158" t="str">
        <x:v>Có</x:v>
      </x:c>
      <x:c r="H262" s="158" t="str">
        <x:v>Chưa bắt đầu</x:v>
      </x:c>
      <x:c r="I262" s="245" t="n">
        <x:v>0</x:v>
      </x:c>
      <x:c r="J262" s="158" t="str"/>
      <x:c r="K262" s="158" t="str"/>
      <x:c r="L262" s="194" t="n">
        <x:f>IFERROR(MIN(I262/D262,1),0)</x:f>
        <x:v>0</x:v>
      </x:c>
    </x:row>
    <x:row r="263" ht="56" customHeight="1">
      <x:c r="A263" s="158" t="n">
        <x:v>37</x:v>
      </x:c>
      <x:c r="B263" s="158" t="str">
        <x:v>Đánh giá tuần</x:v>
      </x:c>
      <x:c r="C263" s="158" t="str">
        <x:v>Tự kiểm tra 10 câu, đánh giá toàn bộ checklist tuần, chốt tồn đọng và kế hoạch sửa.</x:v>
      </x:c>
      <x:c r="D263" s="245" t="n">
        <x:v>2</x:v>
      </x:c>
      <x:c r="E263" s="158" t="str">
        <x:f>"Trang 10 → lọc Tuần "&amp;A263</x:f>
        <x:v>Trang 10 → lọc Tuần 37</x:v>
      </x:c>
      <x:c r="F263" s="158" t="str">
        <x:v>Điểm tự kiểm tra và retrospective</x:v>
      </x:c>
      <x:c r="G263" s="158" t="str">
        <x:v>Có</x:v>
      </x:c>
      <x:c r="H263" s="158" t="str">
        <x:v>Chưa bắt đầu</x:v>
      </x:c>
      <x:c r="I263" s="245" t="n">
        <x:v>0</x:v>
      </x:c>
      <x:c r="J263" s="158" t="str"/>
      <x:c r="K263" s="158" t="str"/>
      <x:c r="L263" s="194" t="n">
        <x:f>IFERROR(MIN(I263/D263,1),0)</x:f>
        <x:v>0</x:v>
      </x:c>
    </x:row>
    <x:row r="264" ht="56" customHeight="1">
      <x:c r="A264" s="158" t="n">
        <x:v>38</x:v>
      </x:c>
      <x:c r="B264" s="158" t="str">
        <x:v>Học trọng tâm</x:v>
      </x:c>
      <x:c r="C264" s="158" t="str">
        <x:v>Đọc tài liệu R33, R34; tập trung: Interview loop, feedback calibration, time management, follow-up question và pressure handling. Ghi lại thuật ngữ, quy tắc và điểm chưa hiểu.</x:v>
      </x:c>
      <x:c r="D264" s="245" t="n">
        <x:v>2.5</x:v>
      </x:c>
      <x:c r="E264" s="158" t="str">
        <x:f>"Trang 10 → lọc Tuần "&amp;A264</x:f>
        <x:v>Trang 10 → lọc Tuần 38</x:v>
      </x:c>
      <x:c r="F264" s="158" t="str">
        <x:v>Ghi chú học tập và danh sách câu hỏi</x:v>
      </x:c>
      <x:c r="G264" s="158" t="str">
        <x:v>Có</x:v>
      </x:c>
      <x:c r="H264" s="158" t="str">
        <x:v>Chưa bắt đầu</x:v>
      </x:c>
      <x:c r="I264" s="245" t="n">
        <x:v>0</x:v>
      </x:c>
      <x:c r="J264" s="158" t="str"/>
      <x:c r="K264" s="158" t="str"/>
      <x:c r="L264" s="194" t="n">
        <x:f>IFERROR(MIN(I264/D264,1),0)</x:f>
        <x:v>0</x:v>
      </x:c>
    </x:row>
    <x:row r="265" ht="56" customHeight="1">
      <x:c r="A265" s="158" t="n">
        <x:v>38</x:v>
      </x:c>
      <x:c r="B265" s="158" t="str">
        <x:v>Ghi chú kiến thức</x:v>
      </x:c>
      <x:c r="C265" s="158" t="str">
        <x:v>Viết bản tóm tắt một trang về Phỏng vấn giả lập và sửa khoảng trống; nêu ít nhất hai lựa chọn kỹ thuật và trade-off.</x:v>
      </x:c>
      <x:c r="D265" s="245" t="n">
        <x:v>1.5</x:v>
      </x:c>
      <x:c r="E265" s="158" t="str">
        <x:f>"Trang 10 → lọc Tuần "&amp;A265</x:f>
        <x:v>Trang 10 → lọc Tuần 38</x:v>
      </x:c>
      <x:c r="F265" s="158" t="str">
        <x:v>Tóm tắt một trang/ADR ngắn</x:v>
      </x:c>
      <x:c r="G265" s="158" t="str">
        <x:v>Có</x:v>
      </x:c>
      <x:c r="H265" s="158" t="str">
        <x:v>Chưa bắt đầu</x:v>
      </x:c>
      <x:c r="I265" s="245" t="n">
        <x:v>0</x:v>
      </x:c>
      <x:c r="J265" s="158" t="str"/>
      <x:c r="K265" s="158" t="str"/>
      <x:c r="L265" s="194" t="n">
        <x:f>IFERROR(MIN(I265/D265,1),0)</x:f>
        <x:v>0</x:v>
      </x:c>
    </x:row>
    <x:row r="266" ht="56" customHeight="1">
      <x:c r="A266" s="158" t="n">
        <x:v>38</x:v>
      </x:c>
      <x:c r="B266" s="158" t="str">
        <x:v>Xây dựng</x:v>
      </x:c>
      <x:c r="C266" s="158" t="str">
        <x:v>Thực hiện mục tiêu: Hoàn thành hai vòng kỹ thuật đầy đủ và một vòng hành vi. Chia commit nhỏ, thông điệp commit rõ ràng.</x:v>
      </x:c>
      <x:c r="D266" s="245" t="n">
        <x:v>4</x:v>
      </x:c>
      <x:c r="E266" s="158" t="str">
        <x:f>"Trang 10 → lọc Tuần "&amp;A266</x:f>
        <x:v>Trang 10 → lọc Tuần 38</x:v>
      </x:c>
      <x:c r="F266" s="158" t="str">
        <x:v>Mã nguồn hoặc cấu hình chạy được</x:v>
      </x:c>
      <x:c r="G266" s="158" t="str">
        <x:v>Có</x:v>
      </x:c>
      <x:c r="H266" s="158" t="str">
        <x:v>Chưa bắt đầu</x:v>
      </x:c>
      <x:c r="I266" s="245" t="n">
        <x:v>0</x:v>
      </x:c>
      <x:c r="J266" s="158" t="str"/>
      <x:c r="K266" s="158" t="str"/>
      <x:c r="L266" s="194" t="n">
        <x:f>IFERROR(MIN(I266/D266,1),0)</x:f>
        <x:v>0</x:v>
      </x:c>
    </x:row>
    <x:row r="267" ht="56" customHeight="1">
      <x:c r="A267" s="158" t="n">
        <x:v>38</x:v>
      </x:c>
      <x:c r="B267" s="158" t="str">
        <x:v>Kiểm thử</x:v>
      </x:c>
      <x:c r="C267" s="158" t="str">
        <x:v>Viết kiểm thử cho ba tiêu chí: Có một vòng Java/Spring và cơ sở dữ liệu; Có một vòng thiết kế hệ thống 60 phút; Có một vòng hành vi bằng tiếng Anh.</x:v>
      </x:c>
      <x:c r="D267" s="245" t="n">
        <x:v>2</x:v>
      </x:c>
      <x:c r="E267" s="158" t="str">
        <x:f>"Trang 10 → lọc Tuần "&amp;A267</x:f>
        <x:v>Trang 10 → lọc Tuần 38</x:v>
      </x:c>
      <x:c r="F267" s="158" t="str">
        <x:v>Bộ kiểm thử và kết quả chạy</x:v>
      </x:c>
      <x:c r="G267" s="158" t="str">
        <x:v>Có</x:v>
      </x:c>
      <x:c r="H267" s="158" t="str">
        <x:v>Chưa bắt đầu</x:v>
      </x:c>
      <x:c r="I267" s="245" t="n">
        <x:v>0</x:v>
      </x:c>
      <x:c r="J267" s="158" t="str"/>
      <x:c r="K267" s="158" t="str"/>
      <x:c r="L267" s="194" t="n">
        <x:f>IFERROR(MIN(I267/D267,1),0)</x:f>
        <x:v>0</x:v>
      </x:c>
    </x:row>
    <x:row r="268" ht="56" customHeight="1">
      <x:c r="A268" s="158" t="n">
        <x:v>38</x:v>
      </x:c>
      <x:c r="B268" s="158" t="str">
        <x:v>Tài liệu hóa</x:v>
      </x:c>
      <x:c r="C268" s="158" t="str">
        <x:v>Cập nhật 3 mock scorecards; gap backlog; remediation commits; bổ sung sơ đồ hoặc bảng quyết định khi phù hợp.</x:v>
      </x:c>
      <x:c r="D268" s="245" t="n">
        <x:v>1.5</x:v>
      </x:c>
      <x:c r="E268" s="158" t="str">
        <x:f>"Trang 10 → lọc Tuần "&amp;A268</x:f>
        <x:v>Trang 10 → lọc Tuần 38</x:v>
      </x:c>
      <x:c r="F268" s="158" t="str">
        <x:v>Tài liệu/sơ đồ/báo cáo</x:v>
      </x:c>
      <x:c r="G268" s="158" t="str">
        <x:v>Có</x:v>
      </x:c>
      <x:c r="H268" s="158" t="str">
        <x:v>Chưa bắt đầu</x:v>
      </x:c>
      <x:c r="I268" s="245" t="n">
        <x:v>0</x:v>
      </x:c>
      <x:c r="J268" s="158" t="str"/>
      <x:c r="K268" s="158" t="str"/>
      <x:c r="L268" s="194" t="n">
        <x:f>IFERROR(MIN(I268/D268,1),0)</x:f>
        <x:v>0</x:v>
      </x:c>
    </x:row>
    <x:row r="269" ht="56" customHeight="1">
      <x:c r="A269" s="158" t="n">
        <x:v>38</x:v>
      </x:c>
      <x:c r="B269" s="158" t="str">
        <x:v>Tiếng Anh kỹ thuật</x:v>
      </x:c>
      <x:c r="C269" s="158" t="str">
        <x:v>Trình bày Phỏng vấn giả lập và sửa khoảng trống bằng tiếng Anh 5–10 phút; ghi âm và tự ghi ba lỗi cần sửa.</x:v>
      </x:c>
      <x:c r="D269" s="245" t="n">
        <x:v>1.5</x:v>
      </x:c>
      <x:c r="E269" s="158" t="str">
        <x:f>"Trang 10 → lọc Tuần "&amp;A269</x:f>
        <x:v>Trang 10 → lọc Tuần 38</x:v>
      </x:c>
      <x:c r="F269" s="158" t="str">
        <x:v>Bản ghi âm và danh sách lỗi</x:v>
      </x:c>
      <x:c r="G269" s="158" t="str">
        <x:v>Có</x:v>
      </x:c>
      <x:c r="H269" s="158" t="str">
        <x:v>Chưa bắt đầu</x:v>
      </x:c>
      <x:c r="I269" s="245" t="n">
        <x:v>0</x:v>
      </x:c>
      <x:c r="J269" s="158" t="str"/>
      <x:c r="K269" s="158" t="str"/>
      <x:c r="L269" s="194" t="n">
        <x:f>IFERROR(MIN(I269/D269,1),0)</x:f>
        <x:v>0</x:v>
      </x:c>
    </x:row>
    <x:row r="270" ht="56" customHeight="1">
      <x:c r="A270" s="158" t="n">
        <x:v>38</x:v>
      </x:c>
      <x:c r="B270" s="158" t="str">
        <x:v>Đánh giá tuần</x:v>
      </x:c>
      <x:c r="C270" s="158" t="str">
        <x:v>Tự kiểm tra 10 câu, đánh giá toàn bộ checklist tuần, chốt tồn đọng và kế hoạch sửa.</x:v>
      </x:c>
      <x:c r="D270" s="245" t="n">
        <x:v>2</x:v>
      </x:c>
      <x:c r="E270" s="158" t="str">
        <x:f>"Trang 10 → lọc Tuần "&amp;A270</x:f>
        <x:v>Trang 10 → lọc Tuần 38</x:v>
      </x:c>
      <x:c r="F270" s="158" t="str">
        <x:v>Điểm tự kiểm tra và retrospective</x:v>
      </x:c>
      <x:c r="G270" s="158" t="str">
        <x:v>Có</x:v>
      </x:c>
      <x:c r="H270" s="158" t="str">
        <x:v>Chưa bắt đầu</x:v>
      </x:c>
      <x:c r="I270" s="245" t="n">
        <x:v>0</x:v>
      </x:c>
      <x:c r="J270" s="158" t="str"/>
      <x:c r="K270" s="158" t="str"/>
      <x:c r="L270" s="194" t="n">
        <x:f>IFERROR(MIN(I270/D270,1),0)</x:f>
        <x:v>0</x:v>
      </x:c>
    </x:row>
    <x:row r="271" ht="56" customHeight="1">
      <x:c r="A271" s="158" t="n">
        <x:v>39</x:v>
      </x:c>
      <x:c r="B271" s="158" t="str">
        <x:v>Học trọng tâm</x:v>
      </x:c>
      <x:c r="C271" s="158" t="str">
        <x:v>Đọc tài liệu R33, R35; tập trung: Readiness gate, job-description mapping, application portfolio, negotiation baseline và 30-day application plan. Ghi lại thuật ngữ, quy tắc và điểm chưa hiểu.</x:v>
      </x:c>
      <x:c r="D271" s="245" t="n">
        <x:v>2.5</x:v>
      </x:c>
      <x:c r="E271" s="158" t="str">
        <x:f>"Trang 10 → lọc Tuần "&amp;A271</x:f>
        <x:v>Trang 10 → lọc Tuần 39</x:v>
      </x:c>
      <x:c r="F271" s="158" t="str">
        <x:v>Ghi chú học tập và danh sách câu hỏi</x:v>
      </x:c>
      <x:c r="G271" s="158" t="str">
        <x:v>Có</x:v>
      </x:c>
      <x:c r="H271" s="158" t="str">
        <x:v>Chưa bắt đầu</x:v>
      </x:c>
      <x:c r="I271" s="245" t="n">
        <x:v>0</x:v>
      </x:c>
      <x:c r="J271" s="158" t="str"/>
      <x:c r="K271" s="158" t="str"/>
      <x:c r="L271" s="194" t="n">
        <x:f>IFERROR(MIN(I271/D271,1),0)</x:f>
        <x:v>0</x:v>
      </x:c>
    </x:row>
    <x:row r="272" ht="56" customHeight="1">
      <x:c r="A272" s="158" t="n">
        <x:v>39</x:v>
      </x:c>
      <x:c r="B272" s="158" t="str">
        <x:v>Ghi chú kiến thức</x:v>
      </x:c>
      <x:c r="C272" s="158" t="str">
        <x:v>Viết bản tóm tắt một trang về Đánh giá cuối và bộ hồ sơ ứng tuyển; nêu ít nhất hai lựa chọn kỹ thuật và trade-off.</x:v>
      </x:c>
      <x:c r="D272" s="245" t="n">
        <x:v>1.5</x:v>
      </x:c>
      <x:c r="E272" s="158" t="str">
        <x:f>"Trang 10 → lọc Tuần "&amp;A272</x:f>
        <x:v>Trang 10 → lọc Tuần 39</x:v>
      </x:c>
      <x:c r="F272" s="158" t="str">
        <x:v>Tóm tắt một trang/ADR ngắn</x:v>
      </x:c>
      <x:c r="G272" s="158" t="str">
        <x:v>Có</x:v>
      </x:c>
      <x:c r="H272" s="158" t="str">
        <x:v>Chưa bắt đầu</x:v>
      </x:c>
      <x:c r="I272" s="245" t="n">
        <x:v>0</x:v>
      </x:c>
      <x:c r="J272" s="158" t="str"/>
      <x:c r="K272" s="158" t="str"/>
      <x:c r="L272" s="194" t="n">
        <x:f>IFERROR(MIN(I272/D272,1),0)</x:f>
        <x:v>0</x:v>
      </x:c>
    </x:row>
    <x:row r="273" ht="56" customHeight="1">
      <x:c r="A273" s="158" t="n">
        <x:v>39</x:v>
      </x:c>
      <x:c r="B273" s="158" t="str">
        <x:v>Xây dựng</x:v>
      </x:c>
      <x:c r="C273" s="158" t="str">
        <x:v>Thực hiện mục tiêu: Vượt cổng 80 điểm và có bộ hồ sơ sẵn sàng gửi. Chia commit nhỏ, thông điệp commit rõ ràng.</x:v>
      </x:c>
      <x:c r="D273" s="245" t="n">
        <x:v>4</x:v>
      </x:c>
      <x:c r="E273" s="158" t="str">
        <x:f>"Trang 10 → lọc Tuần "&amp;A273</x:f>
        <x:v>Trang 10 → lọc Tuần 39</x:v>
      </x:c>
      <x:c r="F273" s="158" t="str">
        <x:v>Mã nguồn hoặc cấu hình chạy được</x:v>
      </x:c>
      <x:c r="G273" s="158" t="str">
        <x:v>Có</x:v>
      </x:c>
      <x:c r="H273" s="158" t="str">
        <x:v>Chưa bắt đầu</x:v>
      </x:c>
      <x:c r="I273" s="245" t="n">
        <x:v>0</x:v>
      </x:c>
      <x:c r="J273" s="158" t="str"/>
      <x:c r="K273" s="158" t="str"/>
      <x:c r="L273" s="194" t="n">
        <x:f>IFERROR(MIN(I273/D273,1),0)</x:f>
        <x:v>0</x:v>
      </x:c>
    </x:row>
    <x:row r="274" ht="56" customHeight="1">
      <x:c r="A274" s="158" t="n">
        <x:v>39</x:v>
      </x:c>
      <x:c r="B274" s="158" t="str">
        <x:v>Kiểm thử</x:v>
      </x:c>
      <x:c r="C274" s="158" t="str">
        <x:v>Viết kiểm thử cho ba tiêu chí: Hai dự án được triển khai và trình diễn được; Điểm tổng chương trình đạt tối thiểu 80; Không còn khoảng trống bắt buộc chưa xử lý.</x:v>
      </x:c>
      <x:c r="D274" s="245" t="n">
        <x:v>2</x:v>
      </x:c>
      <x:c r="E274" s="158" t="str">
        <x:f>"Trang 10 → lọc Tuần "&amp;A274</x:f>
        <x:v>Trang 10 → lọc Tuần 39</x:v>
      </x:c>
      <x:c r="F274" s="158" t="str">
        <x:v>Bộ kiểm thử và kết quả chạy</x:v>
      </x:c>
      <x:c r="G274" s="158" t="str">
        <x:v>Có</x:v>
      </x:c>
      <x:c r="H274" s="158" t="str">
        <x:v>Chưa bắt đầu</x:v>
      </x:c>
      <x:c r="I274" s="245" t="n">
        <x:v>0</x:v>
      </x:c>
      <x:c r="J274" s="158" t="str"/>
      <x:c r="K274" s="158" t="str"/>
      <x:c r="L274" s="194" t="n">
        <x:f>IFERROR(MIN(I274/D274,1),0)</x:f>
        <x:v>0</x:v>
      </x:c>
    </x:row>
    <x:row r="275" ht="56" customHeight="1">
      <x:c r="A275" s="158" t="n">
        <x:v>39</x:v>
      </x:c>
      <x:c r="B275" s="158" t="str">
        <x:v>Tài liệu hóa</x:v>
      </x:c>
      <x:c r="C275" s="158" t="str">
        <x:v>Cập nhật final assessment; application tracker; target-company list; 30-day plan; bổ sung sơ đồ hoặc bảng quyết định khi phù hợp.</x:v>
      </x:c>
      <x:c r="D275" s="245" t="n">
        <x:v>1.5</x:v>
      </x:c>
      <x:c r="E275" s="158" t="str">
        <x:f>"Trang 10 → lọc Tuần "&amp;A275</x:f>
        <x:v>Trang 10 → lọc Tuần 39</x:v>
      </x:c>
      <x:c r="F275" s="158" t="str">
        <x:v>Tài liệu/sơ đồ/báo cáo</x:v>
      </x:c>
      <x:c r="G275" s="158" t="str">
        <x:v>Có</x:v>
      </x:c>
      <x:c r="H275" s="158" t="str">
        <x:v>Chưa bắt đầu</x:v>
      </x:c>
      <x:c r="I275" s="245" t="n">
        <x:v>0</x:v>
      </x:c>
      <x:c r="J275" s="158" t="str"/>
      <x:c r="K275" s="158" t="str"/>
      <x:c r="L275" s="194" t="n">
        <x:f>IFERROR(MIN(I275/D275,1),0)</x:f>
        <x:v>0</x:v>
      </x:c>
    </x:row>
    <x:row r="276" ht="56" customHeight="1">
      <x:c r="A276" s="158" t="n">
        <x:v>39</x:v>
      </x:c>
      <x:c r="B276" s="158" t="str">
        <x:v>Tiếng Anh kỹ thuật</x:v>
      </x:c>
      <x:c r="C276" s="158" t="str">
        <x:v>Trình bày Đánh giá cuối và bộ hồ sơ ứng tuyển bằng tiếng Anh 5–10 phút; ghi âm và tự ghi ba lỗi cần sửa.</x:v>
      </x:c>
      <x:c r="D276" s="245" t="n">
        <x:v>1.5</x:v>
      </x:c>
      <x:c r="E276" s="158" t="str">
        <x:f>"Trang 10 → lọc Tuần "&amp;A276</x:f>
        <x:v>Trang 10 → lọc Tuần 39</x:v>
      </x:c>
      <x:c r="F276" s="158" t="str">
        <x:v>Bản ghi âm và danh sách lỗi</x:v>
      </x:c>
      <x:c r="G276" s="158" t="str">
        <x:v>Có</x:v>
      </x:c>
      <x:c r="H276" s="158" t="str">
        <x:v>Chưa bắt đầu</x:v>
      </x:c>
      <x:c r="I276" s="245" t="n">
        <x:v>0</x:v>
      </x:c>
      <x:c r="J276" s="158" t="str"/>
      <x:c r="K276" s="158" t="str"/>
      <x:c r="L276" s="194" t="n">
        <x:f>IFERROR(MIN(I276/D276,1),0)</x:f>
        <x:v>0</x:v>
      </x:c>
    </x:row>
    <x:row r="277" ht="56" customHeight="1">
      <x:c r="A277" s="158" t="n">
        <x:v>39</x:v>
      </x:c>
      <x:c r="B277" s="158" t="str">
        <x:v>Đánh giá tuần</x:v>
      </x:c>
      <x:c r="C277" s="158" t="str">
        <x:v>Tự kiểm tra 10 câu, đánh giá toàn bộ checklist tuần, chốt tồn đọng và kế hoạch sửa.</x:v>
      </x:c>
      <x:c r="D277" s="245" t="n">
        <x:v>2</x:v>
      </x:c>
      <x:c r="E277" s="158" t="str">
        <x:f>"Trang 10 → lọc Tuần "&amp;A277</x:f>
        <x:v>Trang 10 → lọc Tuần 39</x:v>
      </x:c>
      <x:c r="F277" s="158" t="str">
        <x:v>Điểm tự kiểm tra và retrospective</x:v>
      </x:c>
      <x:c r="G277" s="158" t="str">
        <x:v>Có</x:v>
      </x:c>
      <x:c r="H277" s="158" t="str">
        <x:v>Chưa bắt đầu</x:v>
      </x:c>
      <x:c r="I277" s="245" t="n">
        <x:v>0</x:v>
      </x:c>
      <x:c r="J277" s="158" t="str"/>
      <x:c r="K277" s="158" t="str"/>
      <x:c r="L277" s="194" t="n">
        <x:f>IFERROR(MIN(I277/D277,1),0)</x:f>
        <x:v>0</x:v>
      </x:c>
    </x:row>
  </x:sheetData>
  <x:mergeCells>
    <x:mergeCell ref="A1:L1"/>
    <x:mergeCell ref="A2:L2"/>
  </x:mergeCells>
  <x:conditionalFormatting sqref="L5:L277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{D3C89487-ABDB-098F-AB51-392B7FBC35DA}</x14:id>
        </x:ext>
      </x:extLst>
    </x:cfRule>
  </x:conditionalFormatting>
  <x:conditionalFormatting sqref="H5:H277">
    <x:cfRule type="containsText" dxfId="15" priority="2" operator="containsText" text="Hoàn thành"/>
    <x:cfRule type="containsText" dxfId="16" priority="3" operator="containsText" text="Đạt"/>
    <x:cfRule type="containsText" dxfId="17" priority="4" operator="containsText" text="Đang làm"/>
    <x:cfRule type="containsText" dxfId="18" priority="5" operator="containsText" text="Cần bổ sung"/>
    <x:cfRule type="containsText" dxfId="19" priority="6" operator="containsText" text="Không đạt"/>
  </x:conditionalFormatting>
  <x:dataValidations count="2">
    <x:dataValidation type="list" sqref="H5:H277">
      <x:formula1>"Chưa bắt đầu,Đang làm,Hoàn thành,Bỏ qua"</x:formula1>
    </x:dataValidation>
    <x:dataValidation type="decimal" operator="between" sqref="I5:I277">
      <x:formula1>0</x:formula1>
      <x:formula2>40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3C89487-ABDB-098F-AB51-392B7FBC35DA}">
            <x14:dataBar gradient="1">
              <x14:cfvo type="min"/>
              <x14:cfvo type="max"/>
              <x14:fillColor rgb="FF0F766E"/>
            </x14:dataBar>
          </x14:cfRule>
          <xm:sqref>L5:L277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68" hidden="0" customWidth="1"/>
    <x:col min="4" max="4" width="16" hidden="0" customWidth="1"/>
    <x:col min="5" max="5" width="30" hidden="0" customWidth="1"/>
    <x:col min="6" max="6" width="34" hidden="0" customWidth="1"/>
    <x:col min="7" max="7" width="10" hidden="0" customWidth="1"/>
  </x:cols>
  <x:sheetData>
    <x:row r="1">
      <x:c r="A1" s="246" t="str">
        <x:v>CHECKLIST NGHIỆM THU TỪNG TUẦN</x:v>
      </x:c>
      <x:c r="B1" s="200"/>
      <x:c r="C1" s="200"/>
      <x:c r="D1" s="200"/>
      <x:c r="E1" s="200"/>
      <x:c r="F1" s="200"/>
      <x:c r="G1" s="200"/>
    </x:row>
    <x:row r="2">
      <x:c r="A2" s="149" t="str">
        <x:v>Chỉ đánh dấu Đạt khi có bằng chứng; tất cả tiêu chí phải đạt để tuần được kết luận Đạt</x:v>
      </x:c>
      <x:c r="B2" s="202"/>
      <x:c r="C2" s="202"/>
      <x:c r="D2" s="202"/>
      <x:c r="E2" s="202"/>
      <x:c r="F2" s="202"/>
      <x:c r="G2" s="202"/>
    </x:row>
    <x:row r="3">
      <x:c r="A3" s="205"/>
      <x:c r="B3" s="205"/>
      <x:c r="C3" s="205"/>
      <x:c r="D3" s="205"/>
      <x:c r="E3" s="205"/>
      <x:c r="F3" s="205"/>
      <x:c r="G3" s="205"/>
    </x:row>
    <x:row r="4">
      <x:c r="A4" s="203" t="str">
        <x:v>Tuần</x:v>
      </x:c>
      <x:c r="B4" s="206" t="str">
        <x:v>Chủ đề</x:v>
      </x:c>
      <x:c r="C4" s="206" t="str">
        <x:v>Tiêu chí nghiệm thu</x:v>
      </x:c>
      <x:c r="D4" s="206" t="str">
        <x:v>Kết quả</x:v>
      </x:c>
      <x:c r="E4" s="206" t="str">
        <x:v>Bằng chứng/URL</x:v>
      </x:c>
      <x:c r="F4" s="206" t="str">
        <x:v>Nhận xét</x:v>
      </x:c>
      <x:c r="G4" s="204" t="str">
        <x:v>Bắt buộc</x:v>
      </x:c>
    </x:row>
    <x:row r="5" ht="40" customHeight="1">
      <x:c r="A5" s="155" t="n">
        <x:v>1</x:v>
      </x:c>
      <x:c r="B5" s="155" t="str">
        <x:v>Đánh giá đầu vào và Java hiện đại</x:v>
      </x:c>
      <x:c r="C5" s="155" t="str">
        <x:v>Giải thích được record khác class ở đâu và khi nào nên dùng</x:v>
      </x:c>
      <x:c r="D5" s="155" t="str">
        <x:v>Chưa đánh giá</x:v>
      </x:c>
      <x:c r="E5" s="155" t="str"/>
      <x:c r="F5" s="155" t="str"/>
      <x:c r="G5" s="155" t="str">
        <x:v>Có</x:v>
      </x:c>
    </x:row>
    <x:row r="6" ht="40" customHeight="1">
      <x:c r="A6" s="158" t="n">
        <x:v>1</x:v>
      </x:c>
      <x:c r="B6" s="158" t="str">
        <x:v>Đánh giá đầu vào và Java hiện đại</x:v>
      </x:c>
      <x:c r="C6" s="158" t="str">
        <x:v>Mô hình Money không dùng double và không cho phép giá trị âm</x:v>
      </x:c>
      <x:c r="D6" s="158" t="str">
        <x:v>Chưa đánh giá</x:v>
      </x:c>
      <x:c r="E6" s="158" t="str"/>
      <x:c r="F6" s="158" t="str"/>
      <x:c r="G6" s="158" t="str">
        <x:v>Có</x:v>
      </x:c>
    </x:row>
    <x:row r="7" ht="40" customHeight="1">
      <x:c r="A7" s="158" t="n">
        <x:v>1</x:v>
      </x:c>
      <x:c r="B7" s="158" t="str">
        <x:v>Đánh giá đầu vào và Java hiện đại</x:v>
      </x:c>
      <x:c r="C7" s="158" t="str">
        <x:v>Trạng thái giao dịch được giới hạn bằng sealed hierarchy</x:v>
      </x:c>
      <x:c r="D7" s="158" t="str">
        <x:v>Chưa đánh giá</x:v>
      </x:c>
      <x:c r="E7" s="158" t="str"/>
      <x:c r="F7" s="158" t="str"/>
      <x:c r="G7" s="158" t="str">
        <x:v>Có</x:v>
      </x:c>
    </x:row>
    <x:row r="8" ht="40" customHeight="1">
      <x:c r="A8" s="158" t="n">
        <x:v>1</x:v>
      </x:c>
      <x:c r="B8" s="158" t="str">
        <x:v>Đánh giá đầu vào và Java hiện đại</x:v>
      </x:c>
      <x:c r="C8" s="158" t="str">
        <x:v>Có ít nhất 10 kiểm thử nghiệp vụ và tất cả đều đạt</x:v>
      </x:c>
      <x:c r="D8" s="158" t="str">
        <x:v>Chưa đánh giá</x:v>
      </x:c>
      <x:c r="E8" s="158" t="str"/>
      <x:c r="F8" s="158" t="str"/>
      <x:c r="G8" s="158" t="str">
        <x:v>Có</x:v>
      </x:c>
    </x:row>
    <x:row r="9" ht="40" customHeight="1">
      <x:c r="A9" s="158" t="n">
        <x:v>1</x:v>
      </x:c>
      <x:c r="B9" s="158" t="str">
        <x:v>Đánh giá đầu vào và Java hiện đại</x:v>
      </x:c>
      <x:c r="C9" s="158" t="str">
        <x:v>Kho mã nguồn có hướng dẫn chạy rõ ràng</x:v>
      </x:c>
      <x:c r="D9" s="158" t="str">
        <x:v>Chưa đánh giá</x:v>
      </x:c>
      <x:c r="E9" s="158" t="str"/>
      <x:c r="F9" s="158" t="str"/>
      <x:c r="G9" s="158" t="str">
        <x:v>Có</x:v>
      </x:c>
    </x:row>
    <x:row r="10" ht="40" customHeight="1">
      <x:c r="A10" s="158" t="n">
        <x:v>1</x:v>
      </x:c>
      <x:c r="B10" s="158" t="str">
        <x:v>Đánh giá đầu vào và Java hiện đại</x:v>
      </x:c>
      <x:c r="C10" s="158" t="str">
        <x:v>Trình bày giải pháp bằng tiếng Anh trong 5–7 phút</x:v>
      </x:c>
      <x:c r="D10" s="158" t="str">
        <x:v>Chưa đánh giá</x:v>
      </x:c>
      <x:c r="E10" s="158" t="str"/>
      <x:c r="F10" s="158" t="str"/>
      <x:c r="G10" s="158" t="str">
        <x:v>Có</x:v>
      </x:c>
    </x:row>
    <x:row r="11" ht="40" customHeight="1">
      <x:c r="A11" s="158" t="n">
        <x:v>2</x:v>
      </x:c>
      <x:c r="B11" s="158" t="str">
        <x:v>Collections, Stream và mô hình miền bất biến</x:v>
      </x:c>
      <x:c r="C11" s="158" t="str">
        <x:v>Chọn đúng List, Set, Map cho ba tình huống nghiệp vụ</x:v>
      </x:c>
      <x:c r="D11" s="158" t="str">
        <x:v>Chưa đánh giá</x:v>
      </x:c>
      <x:c r="E11" s="158" t="str"/>
      <x:c r="F11" s="158" t="str"/>
      <x:c r="G11" s="158" t="str">
        <x:v>Có</x:v>
      </x:c>
    </x:row>
    <x:row r="12" ht="40" customHeight="1">
      <x:c r="A12" s="158" t="n">
        <x:v>2</x:v>
      </x:c>
      <x:c r="B12" s="158" t="str">
        <x:v>Collections, Stream và mô hình miền bất biến</x:v>
      </x:c>
      <x:c r="C12" s="158" t="str">
        <x:v>Giải thích được lazy evaluation và side effect trong Stream</x:v>
      </x:c>
      <x:c r="D12" s="158" t="str">
        <x:v>Chưa đánh giá</x:v>
      </x:c>
      <x:c r="E12" s="158" t="str"/>
      <x:c r="F12" s="158" t="str"/>
      <x:c r="G12" s="158" t="str">
        <x:v>Có</x:v>
      </x:c>
    </x:row>
    <x:row r="13" ht="40" customHeight="1">
      <x:c r="A13" s="158" t="n">
        <x:v>2</x:v>
      </x:c>
      <x:c r="B13" s="158" t="str">
        <x:v>Collections, Stream và mô hình miền bất biến</x:v>
      </x:c>
      <x:c r="C13" s="158" t="str">
        <x:v>Không lạm dụng Optional trong field hoặc tham số</x:v>
      </x:c>
      <x:c r="D13" s="158" t="str">
        <x:v>Chưa đánh giá</x:v>
      </x:c>
      <x:c r="E13" s="158" t="str"/>
      <x:c r="F13" s="158" t="str"/>
      <x:c r="G13" s="158" t="str">
        <x:v>Có</x:v>
      </x:c>
    </x:row>
    <x:row r="14" ht="40" customHeight="1">
      <x:c r="A14" s="158" t="n">
        <x:v>2</x:v>
      </x:c>
      <x:c r="B14" s="158" t="str">
        <x:v>Collections, Stream và mô hình miền bất biến</x:v>
      </x:c>
      <x:c r="C14" s="158" t="str">
        <x:v>Kết quả tổng hợp giao dịch đúng với dữ liệu kiểm thử</x:v>
      </x:c>
      <x:c r="D14" s="158" t="str">
        <x:v>Chưa đánh giá</x:v>
      </x:c>
      <x:c r="E14" s="158" t="str"/>
      <x:c r="F14" s="158" t="str"/>
      <x:c r="G14" s="158" t="str">
        <x:v>Có</x:v>
      </x:c>
    </x:row>
    <x:row r="15" ht="40" customHeight="1">
      <x:c r="A15" s="158" t="n">
        <x:v>2</x:v>
      </x:c>
      <x:c r="B15" s="158" t="str">
        <x:v>Collections, Stream và mô hình miền bất biến</x:v>
      </x:c>
      <x:c r="C15" s="158" t="str">
        <x:v>Có kiểm thử biên cho danh sách rỗng và dữ liệu trùng</x:v>
      </x:c>
      <x:c r="D15" s="158" t="str">
        <x:v>Chưa đánh giá</x:v>
      </x:c>
      <x:c r="E15" s="158" t="str"/>
      <x:c r="F15" s="158" t="str"/>
      <x:c r="G15" s="158" t="str">
        <x:v>Có</x:v>
      </x:c>
    </x:row>
    <x:row r="16" ht="40" customHeight="1">
      <x:c r="A16" s="158" t="n">
        <x:v>2</x:v>
      </x:c>
      <x:c r="B16" s="158" t="str">
        <x:v>Collections, Stream và mô hình miền bất biến</x:v>
      </x:c>
      <x:c r="C16" s="158" t="str">
        <x:v>Mã nguồn không có mutation không cần thiết</x:v>
      </x:c>
      <x:c r="D16" s="158" t="str">
        <x:v>Chưa đánh giá</x:v>
      </x:c>
      <x:c r="E16" s="158" t="str"/>
      <x:c r="F16" s="158" t="str"/>
      <x:c r="G16" s="158" t="str">
        <x:v>Có</x:v>
      </x:c>
    </x:row>
    <x:row r="17" ht="40" customHeight="1">
      <x:c r="A17" s="158" t="n">
        <x:v>3</x:v>
      </x:c>
      <x:c r="B17" s="158" t="str">
        <x:v>Đồng thời, CompletableFuture và virtual thread</x:v>
      </x:c>
      <x:c r="C17" s="158" t="str">
        <x:v>Tái hiện được race condition bằng kiểm thử</x:v>
      </x:c>
      <x:c r="D17" s="158" t="str">
        <x:v>Chưa đánh giá</x:v>
      </x:c>
      <x:c r="E17" s="158" t="str"/>
      <x:c r="F17" s="158" t="str"/>
      <x:c r="G17" s="158" t="str">
        <x:v>Có</x:v>
      </x:c>
    </x:row>
    <x:row r="18" ht="40" customHeight="1">
      <x:c r="A18" s="158" t="n">
        <x:v>3</x:v>
      </x:c>
      <x:c r="B18" s="158" t="str">
        <x:v>Đồng thời, CompletableFuture và virtual thread</x:v>
      </x:c>
      <x:c r="C18" s="158" t="str">
        <x:v>Sửa được race condition mà không khóa toàn bộ hệ thống</x:v>
      </x:c>
      <x:c r="D18" s="158" t="str">
        <x:v>Chưa đánh giá</x:v>
      </x:c>
      <x:c r="E18" s="158" t="str"/>
      <x:c r="F18" s="158" t="str"/>
      <x:c r="G18" s="158" t="str">
        <x:v>Có</x:v>
      </x:c>
    </x:row>
    <x:row r="19" ht="40" customHeight="1">
      <x:c r="A19" s="158" t="n">
        <x:v>3</x:v>
      </x:c>
      <x:c r="B19" s="158" t="str">
        <x:v>Đồng thời, CompletableFuture và virtual thread</x:v>
      </x:c>
      <x:c r="C19" s="158" t="str">
        <x:v>Giải thích được CPU-bound và I/O-bound</x:v>
      </x:c>
      <x:c r="D19" s="158" t="str">
        <x:v>Chưa đánh giá</x:v>
      </x:c>
      <x:c r="E19" s="158" t="str"/>
      <x:c r="F19" s="158" t="str"/>
      <x:c r="G19" s="158" t="str">
        <x:v>Có</x:v>
      </x:c>
    </x:row>
    <x:row r="20" ht="40" customHeight="1">
      <x:c r="A20" s="158" t="n">
        <x:v>3</x:v>
      </x:c>
      <x:c r="B20" s="158" t="str">
        <x:v>Đồng thời, CompletableFuture và virtual thread</x:v>
      </x:c>
      <x:c r="C20" s="158" t="str">
        <x:v>So sánh platform thread với virtual thread bằng số liệu</x:v>
      </x:c>
      <x:c r="D20" s="158" t="str">
        <x:v>Chưa đánh giá</x:v>
      </x:c>
      <x:c r="E20" s="158" t="str"/>
      <x:c r="F20" s="158" t="str"/>
      <x:c r="G20" s="158" t="str">
        <x:v>Có</x:v>
      </x:c>
    </x:row>
    <x:row r="21" ht="40" customHeight="1">
      <x:c r="A21" s="158" t="n">
        <x:v>3</x:v>
      </x:c>
      <x:c r="B21" s="158" t="str">
        <x:v>Đồng thời, CompletableFuture và virtual thread</x:v>
      </x:c>
      <x:c r="C21" s="158" t="str">
        <x:v>Không rò rỉ executor hoặc bỏ qua exception</x:v>
      </x:c>
      <x:c r="D21" s="158" t="str">
        <x:v>Chưa đánh giá</x:v>
      </x:c>
      <x:c r="E21" s="158" t="str"/>
      <x:c r="F21" s="158" t="str"/>
      <x:c r="G21" s="158" t="str">
        <x:v>Có</x:v>
      </x:c>
    </x:row>
    <x:row r="22" ht="40" customHeight="1">
      <x:c r="A22" s="158" t="n">
        <x:v>3</x:v>
      </x:c>
      <x:c r="B22" s="158" t="str">
        <x:v>Đồng thời, CompletableFuture và virtual thread</x:v>
      </x:c>
      <x:c r="C22" s="158" t="str">
        <x:v>Có báo cáo kết quả và giới hạn của phép đo</x:v>
      </x:c>
      <x:c r="D22" s="158" t="str">
        <x:v>Chưa đánh giá</x:v>
      </x:c>
      <x:c r="E22" s="158" t="str"/>
      <x:c r="F22" s="158" t="str"/>
      <x:c r="G22" s="158" t="str">
        <x:v>Có</x:v>
      </x:c>
    </x:row>
    <x:row r="23" ht="40" customHeight="1">
      <x:c r="A23" s="158" t="n">
        <x:v>4</x:v>
      </x:c>
      <x:c r="B23" s="158" t="str">
        <x:v>JVM, bộ nhớ và phân tích hiệu năng</x:v>
      </x:c>
      <x:c r="C23" s="158" t="str">
        <x:v>Đọc được các phần chính của thread dump</x:v>
      </x:c>
      <x:c r="D23" s="158" t="str">
        <x:v>Chưa đánh giá</x:v>
      </x:c>
      <x:c r="E23" s="158" t="str"/>
      <x:c r="F23" s="158" t="str"/>
      <x:c r="G23" s="158" t="str">
        <x:v>Có</x:v>
      </x:c>
    </x:row>
    <x:row r="24" ht="40" customHeight="1">
      <x:c r="A24" s="158" t="n">
        <x:v>4</x:v>
      </x:c>
      <x:c r="B24" s="158" t="str">
        <x:v>JVM, bộ nhớ và phân tích hiệu năng</x:v>
      </x:c>
      <x:c r="C24" s="158" t="str">
        <x:v>Phân biệt được memory leak với tải bộ nhớ tạm thời</x:v>
      </x:c>
      <x:c r="D24" s="158" t="str">
        <x:v>Chưa đánh giá</x:v>
      </x:c>
      <x:c r="E24" s="158" t="str"/>
      <x:c r="F24" s="158" t="str"/>
      <x:c r="G24" s="158" t="str">
        <x:v>Có</x:v>
      </x:c>
    </x:row>
    <x:row r="25" ht="40" customHeight="1">
      <x:c r="A25" s="158" t="n">
        <x:v>4</x:v>
      </x:c>
      <x:c r="B25" s="158" t="str">
        <x:v>JVM, bộ nhớ và phân tích hiệu năng</x:v>
      </x:c>
      <x:c r="C25" s="158" t="str">
        <x:v>Tạo và phân tích được bản ghi JFR</x:v>
      </x:c>
      <x:c r="D25" s="158" t="str">
        <x:v>Chưa đánh giá</x:v>
      </x:c>
      <x:c r="E25" s="158" t="str"/>
      <x:c r="F25" s="158" t="str"/>
      <x:c r="G25" s="158" t="str">
        <x:v>Có</x:v>
      </x:c>
    </x:row>
    <x:row r="26" ht="40" customHeight="1">
      <x:c r="A26" s="158" t="n">
        <x:v>4</x:v>
      </x:c>
      <x:c r="B26" s="158" t="str">
        <x:v>JVM, bộ nhớ và phân tích hiệu năng</x:v>
      </x:c>
      <x:c r="C26" s="158" t="str">
        <x:v>Xác định được ít nhất một điểm nghẽn bằng bằng chứng</x:v>
      </x:c>
      <x:c r="D26" s="158" t="str">
        <x:v>Chưa đánh giá</x:v>
      </x:c>
      <x:c r="E26" s="158" t="str"/>
      <x:c r="F26" s="158" t="str"/>
      <x:c r="G26" s="158" t="str">
        <x:v>Có</x:v>
      </x:c>
    </x:row>
    <x:row r="27" ht="40" customHeight="1">
      <x:c r="A27" s="158" t="n">
        <x:v>4</x:v>
      </x:c>
      <x:c r="B27" s="158" t="str">
        <x:v>JVM, bộ nhớ và phân tích hiệu năng</x:v>
      </x:c>
      <x:c r="C27" s="158" t="str">
        <x:v>Có số liệu trước và sau thay đổi</x:v>
      </x:c>
      <x:c r="D27" s="158" t="str">
        <x:v>Chưa đánh giá</x:v>
      </x:c>
      <x:c r="E27" s="158" t="str"/>
      <x:c r="F27" s="158" t="str"/>
      <x:c r="G27" s="158" t="str">
        <x:v>Có</x:v>
      </x:c>
    </x:row>
    <x:row r="28" ht="40" customHeight="1">
      <x:c r="A28" s="158" t="n">
        <x:v>4</x:v>
      </x:c>
      <x:c r="B28" s="158" t="str">
        <x:v>JVM, bộ nhớ và phân tích hiệu năng</x:v>
      </x:c>
      <x:c r="C28" s="158" t="str">
        <x:v>Không kết luận hiệu năng chỉ từ một lần chạy</x:v>
      </x:c>
      <x:c r="D28" s="158" t="str">
        <x:v>Chưa đánh giá</x:v>
      </x:c>
      <x:c r="E28" s="158" t="str"/>
      <x:c r="F28" s="158" t="str"/>
      <x:c r="G28" s="158" t="str">
        <x:v>Có</x:v>
      </x:c>
    </x:row>
    <x:row r="29" ht="40" customHeight="1">
      <x:c r="A29" s="158" t="n">
        <x:v>5</x:v>
      </x:c>
      <x:c r="B29" s="158" t="str">
        <x:v>Kiến trúc ứng dụng Spring Boot</x:v>
      </x:c>
      <x:c r="C29" s="158" t="str">
        <x:v>Ứng dụng chạy trên Java 21 và Spring Boot 3</x:v>
      </x:c>
      <x:c r="D29" s="158" t="str">
        <x:v>Chưa đánh giá</x:v>
      </x:c>
      <x:c r="E29" s="158" t="str"/>
      <x:c r="F29" s="158" t="str"/>
      <x:c r="G29" s="158" t="str">
        <x:v>Có</x:v>
      </x:c>
    </x:row>
    <x:row r="30" ht="40" customHeight="1">
      <x:c r="A30" s="158" t="n">
        <x:v>5</x:v>
      </x:c>
      <x:c r="B30" s="158" t="str">
        <x:v>Kiến trúc ứng dụng Spring Boot</x:v>
      </x:c>
      <x:c r="C30" s="158" t="str">
        <x:v>Không đặt toàn bộ logic trong controller hoặc service duy nhất</x:v>
      </x:c>
      <x:c r="D30" s="158" t="str">
        <x:v>Chưa đánh giá</x:v>
      </x:c>
      <x:c r="E30" s="158" t="str"/>
      <x:c r="F30" s="158" t="str"/>
      <x:c r="G30" s="158" t="str">
        <x:v>Có</x:v>
      </x:c>
    </x:row>
    <x:row r="31" ht="40" customHeight="1">
      <x:c r="A31" s="158" t="n">
        <x:v>5</x:v>
      </x:c>
      <x:c r="B31" s="158" t="str">
        <x:v>Kiến trúc ứng dụng Spring Boot</x:v>
      </x:c>
      <x:c r="C31" s="158" t="str">
        <x:v>Cấu hình được kiểm tra kiểu bằng ConfigurationProperties</x:v>
      </x:c>
      <x:c r="D31" s="158" t="str">
        <x:v>Chưa đánh giá</x:v>
      </x:c>
      <x:c r="E31" s="158" t="str"/>
      <x:c r="F31" s="158" t="str"/>
      <x:c r="G31" s="158" t="str">
        <x:v>Có</x:v>
      </x:c>
    </x:row>
    <x:row r="32" ht="40" customHeight="1">
      <x:c r="A32" s="158" t="n">
        <x:v>5</x:v>
      </x:c>
      <x:c r="B32" s="158" t="str">
        <x:v>Kiến trúc ứng dụng Spring Boot</x:v>
      </x:c>
      <x:c r="C32" s="158" t="str">
        <x:v>Profile không chứa bí mật trong mã nguồn</x:v>
      </x:c>
      <x:c r="D32" s="158" t="str">
        <x:v>Chưa đánh giá</x:v>
      </x:c>
      <x:c r="E32" s="158" t="str"/>
      <x:c r="F32" s="158" t="str"/>
      <x:c r="G32" s="158" t="str">
        <x:v>Có</x:v>
      </x:c>
    </x:row>
    <x:row r="33" ht="40" customHeight="1">
      <x:c r="A33" s="158" t="n">
        <x:v>5</x:v>
      </x:c>
      <x:c r="B33" s="158" t="str">
        <x:v>Kiến trúc ứng dụng Spring Boot</x:v>
      </x:c>
      <x:c r="C33" s="158" t="str">
        <x:v>Có sơ đồ phụ thuộc giữa các module</x:v>
      </x:c>
      <x:c r="D33" s="158" t="str">
        <x:v>Chưa đánh giá</x:v>
      </x:c>
      <x:c r="E33" s="158" t="str"/>
      <x:c r="F33" s="158" t="str"/>
      <x:c r="G33" s="158" t="str">
        <x:v>Có</x:v>
      </x:c>
    </x:row>
    <x:row r="34" ht="40" customHeight="1">
      <x:c r="A34" s="158" t="n">
        <x:v>5</x:v>
      </x:c>
      <x:c r="B34" s="158" t="str">
        <x:v>Kiến trúc ứng dụng Spring Boot</x:v>
      </x:c>
      <x:c r="C34" s="158" t="str">
        <x:v>Có ADR giải thích lựa chọn kiến trúc</x:v>
      </x:c>
      <x:c r="D34" s="158" t="str">
        <x:v>Chưa đánh giá</x:v>
      </x:c>
      <x:c r="E34" s="158" t="str"/>
      <x:c r="F34" s="158" t="str"/>
      <x:c r="G34" s="158" t="str">
        <x:v>Có</x:v>
      </x:c>
    </x:row>
    <x:row r="35" ht="40" customHeight="1">
      <x:c r="A35" s="158" t="n">
        <x:v>6</x:v>
      </x:c>
      <x:c r="B35" s="158" t="str">
        <x:v>Thiết kế REST API và hợp đồng OpenAPI</x:v>
      </x:c>
      <x:c r="C35" s="158" t="str">
        <x:v>OpenAPI mô tả đủ request, response và lỗi</x:v>
      </x:c>
      <x:c r="D35" s="158" t="str">
        <x:v>Chưa đánh giá</x:v>
      </x:c>
      <x:c r="E35" s="158" t="str"/>
      <x:c r="F35" s="158" t="str"/>
      <x:c r="G35" s="158" t="str">
        <x:v>Có</x:v>
      </x:c>
    </x:row>
    <x:row r="36" ht="40" customHeight="1">
      <x:c r="A36" s="158" t="n">
        <x:v>6</x:v>
      </x:c>
      <x:c r="B36" s="158" t="str">
        <x:v>Thiết kế REST API và hợp đồng OpenAPI</x:v>
      </x:c>
      <x:c r="C36" s="158" t="str">
        <x:v>Status code phù hợp với từng tình huống</x:v>
      </x:c>
      <x:c r="D36" s="158" t="str">
        <x:v>Chưa đánh giá</x:v>
      </x:c>
      <x:c r="E36" s="158" t="str"/>
      <x:c r="F36" s="158" t="str"/>
      <x:c r="G36" s="158" t="str">
        <x:v>Có</x:v>
      </x:c>
    </x:row>
    <x:row r="37" ht="40" customHeight="1">
      <x:c r="A37" s="158" t="n">
        <x:v>6</x:v>
      </x:c>
      <x:c r="B37" s="158" t="str">
        <x:v>Thiết kế REST API và hợp đồng OpenAPI</x:v>
      </x:c>
      <x:c r="C37" s="158" t="str">
        <x:v>Validation trả về lỗi có cấu trúc thống nhất</x:v>
      </x:c>
      <x:c r="D37" s="158" t="str">
        <x:v>Chưa đánh giá</x:v>
      </x:c>
      <x:c r="E37" s="158" t="str"/>
      <x:c r="F37" s="158" t="str"/>
      <x:c r="G37" s="158" t="str">
        <x:v>Có</x:v>
      </x:c>
    </x:row>
    <x:row r="38" ht="40" customHeight="1">
      <x:c r="A38" s="158" t="n">
        <x:v>6</x:v>
      </x:c>
      <x:c r="B38" s="158" t="str">
        <x:v>Thiết kế REST API và hợp đồng OpenAPI</x:v>
      </x:c>
      <x:c r="C38" s="158" t="str">
        <x:v>Danh sách lớn có phân trang và giới hạn kích thước</x:v>
      </x:c>
      <x:c r="D38" s="158" t="str">
        <x:v>Chưa đánh giá</x:v>
      </x:c>
      <x:c r="E38" s="158" t="str"/>
      <x:c r="F38" s="158" t="str"/>
      <x:c r="G38" s="158" t="str">
        <x:v>Có</x:v>
      </x:c>
    </x:row>
    <x:row r="39" ht="40" customHeight="1">
      <x:c r="A39" s="158" t="n">
        <x:v>6</x:v>
      </x:c>
      <x:c r="B39" s="158" t="str">
        <x:v>Thiết kế REST API và hợp đồng OpenAPI</x:v>
      </x:c>
      <x:c r="C39" s="158" t="str">
        <x:v>API thay đổi trạng thái hỗ trợ idempotency key</x:v>
      </x:c>
      <x:c r="D39" s="158" t="str">
        <x:v>Chưa đánh giá</x:v>
      </x:c>
      <x:c r="E39" s="158" t="str"/>
      <x:c r="F39" s="158" t="str"/>
      <x:c r="G39" s="158" t="str">
        <x:v>Có</x:v>
      </x:c>
    </x:row>
    <x:row r="40" ht="40" customHeight="1">
      <x:c r="A40" s="158" t="n">
        <x:v>6</x:v>
      </x:c>
      <x:c r="B40" s="158" t="str">
        <x:v>Thiết kế REST API và hợp đồng OpenAPI</x:v>
      </x:c>
      <x:c r="C40" s="158" t="str">
        <x:v>Có kiểm thử hợp đồng cho các đường dẫn chính</x:v>
      </x:c>
      <x:c r="D40" s="158" t="str">
        <x:v>Chưa đánh giá</x:v>
      </x:c>
      <x:c r="E40" s="158" t="str"/>
      <x:c r="F40" s="158" t="str"/>
      <x:c r="G40" s="158" t="str">
        <x:v>Có</x:v>
      </x:c>
    </x:row>
    <x:row r="41" ht="40" customHeight="1">
      <x:c r="A41" s="158" t="n">
        <x:v>7</x:v>
      </x:c>
      <x:c r="B41" s="158" t="str">
        <x:v>JPA, giao dịch và khóa dữ liệu</x:v>
      </x:c>
      <x:c r="C41" s="158" t="str">
        <x:v>Tái hiện được lost update bằng kiểm thử đồng thời</x:v>
      </x:c>
      <x:c r="D41" s="158" t="str">
        <x:v>Chưa đánh giá</x:v>
      </x:c>
      <x:c r="E41" s="158" t="str"/>
      <x:c r="F41" s="158" t="str"/>
      <x:c r="G41" s="158" t="str">
        <x:v>Có</x:v>
      </x:c>
    </x:row>
    <x:row r="42" ht="40" customHeight="1">
      <x:c r="A42" s="158" t="n">
        <x:v>7</x:v>
      </x:c>
      <x:c r="B42" s="158" t="str">
        <x:v>JPA, giao dịch và khóa dữ liệu</x:v>
      </x:c>
      <x:c r="C42" s="158" t="str">
        <x:v>Optimistic locking phát hiện xung đột đúng</x:v>
      </x:c>
      <x:c r="D42" s="158" t="str">
        <x:v>Chưa đánh giá</x:v>
      </x:c>
      <x:c r="E42" s="158" t="str"/>
      <x:c r="F42" s="158" t="str"/>
      <x:c r="G42" s="158" t="str">
        <x:v>Có</x:v>
      </x:c>
    </x:row>
    <x:row r="43" ht="40" customHeight="1">
      <x:c r="A43" s="158" t="n">
        <x:v>7</x:v>
      </x:c>
      <x:c r="B43" s="158" t="str">
        <x:v>JPA, giao dịch và khóa dữ liệu</x:v>
      </x:c>
      <x:c r="C43" s="158" t="str">
        <x:v>Pessimistic locking được giới hạn trong transaction ngắn</x:v>
      </x:c>
      <x:c r="D43" s="158" t="str">
        <x:v>Chưa đánh giá</x:v>
      </x:c>
      <x:c r="E43" s="158" t="str"/>
      <x:c r="F43" s="158" t="str"/>
      <x:c r="G43" s="158" t="str">
        <x:v>Có</x:v>
      </x:c>
    </x:row>
    <x:row r="44" ht="40" customHeight="1">
      <x:c r="A44" s="158" t="n">
        <x:v>7</x:v>
      </x:c>
      <x:c r="B44" s="158" t="str">
        <x:v>JPA, giao dịch và khóa dữ liệu</x:v>
      </x:c>
      <x:c r="C44" s="158" t="str">
        <x:v>Không có N+1 trong truy vấn đã chọn</x:v>
      </x:c>
      <x:c r="D44" s="158" t="str">
        <x:v>Chưa đánh giá</x:v>
      </x:c>
      <x:c r="E44" s="158" t="str"/>
      <x:c r="F44" s="158" t="str"/>
      <x:c r="G44" s="158" t="str">
        <x:v>Có</x:v>
      </x:c>
    </x:row>
    <x:row r="45" ht="40" customHeight="1">
      <x:c r="A45" s="158" t="n">
        <x:v>7</x:v>
      </x:c>
      <x:c r="B45" s="158" t="str">
        <x:v>JPA, giao dịch và khóa dữ liệu</x:v>
      </x:c>
      <x:c r="C45" s="158" t="str">
        <x:v>Giải thích được bốn mức isolation</x:v>
      </x:c>
      <x:c r="D45" s="158" t="str">
        <x:v>Chưa đánh giá</x:v>
      </x:c>
      <x:c r="E45" s="158" t="str"/>
      <x:c r="F45" s="158" t="str"/>
      <x:c r="G45" s="158" t="str">
        <x:v>Có</x:v>
      </x:c>
    </x:row>
    <x:row r="46" ht="40" customHeight="1">
      <x:c r="A46" s="158" t="n">
        <x:v>7</x:v>
      </x:c>
      <x:c r="B46" s="158" t="str">
        <x:v>JPA, giao dịch và khóa dữ liệu</x:v>
      </x:c>
      <x:c r="C46" s="158" t="str">
        <x:v>Có tiêu chí lựa chọn từng loại khóa</x:v>
      </x:c>
      <x:c r="D46" s="158" t="str">
        <x:v>Chưa đánh giá</x:v>
      </x:c>
      <x:c r="E46" s="158" t="str"/>
      <x:c r="F46" s="158" t="str"/>
      <x:c r="G46" s="158" t="str">
        <x:v>Có</x:v>
      </x:c>
    </x:row>
    <x:row r="47" ht="40" customHeight="1">
      <x:c r="A47" s="158" t="n">
        <x:v>8</x:v>
      </x:c>
      <x:c r="B47" s="158" t="str">
        <x:v>PostgreSQL và tối ưu SQL</x:v>
      </x:c>
      <x:c r="C47" s="158" t="str">
        <x:v>Đọc được scan, join và cost trong execution plan</x:v>
      </x:c>
      <x:c r="D47" s="158" t="str">
        <x:v>Chưa đánh giá</x:v>
      </x:c>
      <x:c r="E47" s="158" t="str"/>
      <x:c r="F47" s="158" t="str"/>
      <x:c r="G47" s="158" t="str">
        <x:v>Có</x:v>
      </x:c>
    </x:row>
    <x:row r="48" ht="40" customHeight="1">
      <x:c r="A48" s="158" t="n">
        <x:v>8</x:v>
      </x:c>
      <x:c r="B48" s="158" t="str">
        <x:v>PostgreSQL và tối ưu SQL</x:v>
      </x:c>
      <x:c r="C48" s="158" t="str">
        <x:v>Mỗi index đều có lý do và truy vấn sử dụng thực tế</x:v>
      </x:c>
      <x:c r="D48" s="158" t="str">
        <x:v>Chưa đánh giá</x:v>
      </x:c>
      <x:c r="E48" s="158" t="str"/>
      <x:c r="F48" s="158" t="str"/>
      <x:c r="G48" s="158" t="str">
        <x:v>Có</x:v>
      </x:c>
    </x:row>
    <x:row r="49" ht="40" customHeight="1">
      <x:c r="A49" s="158" t="n">
        <x:v>8</x:v>
      </x:c>
      <x:c r="B49" s="158" t="str">
        <x:v>PostgreSQL và tối ưu SQL</x:v>
      </x:c>
      <x:c r="C49" s="158" t="str">
        <x:v>Có đo thời gian trước và sau tối ưu</x:v>
      </x:c>
      <x:c r="D49" s="158" t="str">
        <x:v>Chưa đánh giá</x:v>
      </x:c>
      <x:c r="E49" s="158" t="str"/>
      <x:c r="F49" s="158" t="str"/>
      <x:c r="G49" s="158" t="str">
        <x:v>Có</x:v>
      </x:c>
    </x:row>
    <x:row r="50" ht="40" customHeight="1">
      <x:c r="A50" s="158" t="n">
        <x:v>8</x:v>
      </x:c>
      <x:c r="B50" s="158" t="str">
        <x:v>PostgreSQL và tối ưu SQL</x:v>
      </x:c>
      <x:c r="C50" s="158" t="str">
        <x:v>Giải thích được tác động ghi của index</x:v>
      </x:c>
      <x:c r="D50" s="158" t="str">
        <x:v>Chưa đánh giá</x:v>
      </x:c>
      <x:c r="E50" s="158" t="str"/>
      <x:c r="F50" s="158" t="str"/>
      <x:c r="G50" s="158" t="str">
        <x:v>Có</x:v>
      </x:c>
    </x:row>
    <x:row r="51" ht="40" customHeight="1">
      <x:c r="A51" s="158" t="n">
        <x:v>8</x:v>
      </x:c>
      <x:c r="B51" s="158" t="str">
        <x:v>PostgreSQL và tối ưu SQL</x:v>
      </x:c>
      <x:c r="C51" s="158" t="str">
        <x:v>Connection pool có giới hạn và timeout hợp lý</x:v>
      </x:c>
      <x:c r="D51" s="158" t="str">
        <x:v>Chưa đánh giá</x:v>
      </x:c>
      <x:c r="E51" s="158" t="str"/>
      <x:c r="F51" s="158" t="str"/>
      <x:c r="G51" s="158" t="str">
        <x:v>Có</x:v>
      </x:c>
    </x:row>
    <x:row r="52" ht="40" customHeight="1">
      <x:c r="A52" s="158" t="n">
        <x:v>8</x:v>
      </x:c>
      <x:c r="B52" s="158" t="str">
        <x:v>PostgreSQL và tối ưu SQL</x:v>
      </x:c>
      <x:c r="C52" s="158" t="str">
        <x:v>Không dùng SELECT * trong truy vấn mục tiêu</x:v>
      </x:c>
      <x:c r="D52" s="158" t="str">
        <x:v>Chưa đánh giá</x:v>
      </x:c>
      <x:c r="E52" s="158" t="str"/>
      <x:c r="F52" s="158" t="str"/>
      <x:c r="G52" s="158" t="str">
        <x:v>Có</x:v>
      </x:c>
    </x:row>
    <x:row r="53" ht="40" customHeight="1">
      <x:c r="A53" s="158" t="n">
        <x:v>9</x:v>
      </x:c>
      <x:c r="B53" s="158" t="str">
        <x:v>Chiến lược kiểm thử và Testcontainers</x:v>
      </x:c>
      <x:c r="C53" s="158" t="str">
        <x:v>Unit test không khởi động toàn bộ Spring context</x:v>
      </x:c>
      <x:c r="D53" s="158" t="str">
        <x:v>Chưa đánh giá</x:v>
      </x:c>
      <x:c r="E53" s="158" t="str"/>
      <x:c r="F53" s="158" t="str"/>
      <x:c r="G53" s="158" t="str">
        <x:v>Có</x:v>
      </x:c>
    </x:row>
    <x:row r="54" ht="40" customHeight="1">
      <x:c r="A54" s="158" t="n">
        <x:v>9</x:v>
      </x:c>
      <x:c r="B54" s="158" t="str">
        <x:v>Chiến lược kiểm thử và Testcontainers</x:v>
      </x:c>
      <x:c r="C54" s="158" t="str">
        <x:v>Integration test chạy với PostgreSQL thật trong container</x:v>
      </x:c>
      <x:c r="D54" s="158" t="str">
        <x:v>Chưa đánh giá</x:v>
      </x:c>
      <x:c r="E54" s="158" t="str"/>
      <x:c r="F54" s="158" t="str"/>
      <x:c r="G54" s="158" t="str">
        <x:v>Có</x:v>
      </x:c>
    </x:row>
    <x:row r="55" ht="40" customHeight="1">
      <x:c r="A55" s="158" t="n">
        <x:v>9</x:v>
      </x:c>
      <x:c r="B55" s="158" t="str">
        <x:v>Chiến lược kiểm thử và Testcontainers</x:v>
      </x:c>
      <x:c r="C55" s="158" t="str">
        <x:v>Dữ liệu giữa các kiểm thử được cô lập</x:v>
      </x:c>
      <x:c r="D55" s="158" t="str">
        <x:v>Chưa đánh giá</x:v>
      </x:c>
      <x:c r="E55" s="158" t="str"/>
      <x:c r="F55" s="158" t="str"/>
      <x:c r="G55" s="158" t="str">
        <x:v>Có</x:v>
      </x:c>
    </x:row>
    <x:row r="56" ht="40" customHeight="1">
      <x:c r="A56" s="158" t="n">
        <x:v>9</x:v>
      </x:c>
      <x:c r="B56" s="158" t="str">
        <x:v>Chiến lược kiểm thử và Testcontainers</x:v>
      </x:c>
      <x:c r="C56" s="158" t="str">
        <x:v>Có kiểm thử lỗi, biên và concurrency</x:v>
      </x:c>
      <x:c r="D56" s="158" t="str">
        <x:v>Chưa đánh giá</x:v>
      </x:c>
      <x:c r="E56" s="158" t="str"/>
      <x:c r="F56" s="158" t="str"/>
      <x:c r="G56" s="158" t="str">
        <x:v>Có</x:v>
      </x:c>
    </x:row>
    <x:row r="57" ht="40" customHeight="1">
      <x:c r="A57" s="158" t="n">
        <x:v>9</x:v>
      </x:c>
      <x:c r="B57" s="158" t="str">
        <x:v>Chiến lược kiểm thử và Testcontainers</x:v>
      </x:c>
      <x:c r="C57" s="158" t="str">
        <x:v>Bộ kiểm thử chạy ổn định hai lần liên tiếp</x:v>
      </x:c>
      <x:c r="D57" s="158" t="str">
        <x:v>Chưa đánh giá</x:v>
      </x:c>
      <x:c r="E57" s="158" t="str"/>
      <x:c r="F57" s="158" t="str"/>
      <x:c r="G57" s="158" t="str">
        <x:v>Có</x:v>
      </x:c>
    </x:row>
    <x:row r="58" ht="40" customHeight="1">
      <x:c r="A58" s="158" t="n">
        <x:v>9</x:v>
      </x:c>
      <x:c r="B58" s="158" t="str">
        <x:v>Chiến lược kiểm thử và Testcontainers</x:v>
      </x:c>
      <x:c r="C58" s="158" t="str">
        <x:v>Pipeline thất bại khi có kiểm thử không đạt</x:v>
      </x:c>
      <x:c r="D58" s="158" t="str">
        <x:v>Chưa đánh giá</x:v>
      </x:c>
      <x:c r="E58" s="158" t="str"/>
      <x:c r="F58" s="158" t="str"/>
      <x:c r="G58" s="158" t="str">
        <x:v>Có</x:v>
      </x:c>
    </x:row>
    <x:row r="59" ht="40" customHeight="1">
      <x:c r="A59" s="158" t="n">
        <x:v>10</x:v>
      </x:c>
      <x:c r="B59" s="158" t="str">
        <x:v>Spring Security, OAuth2 và JWT</x:v>
      </x:c>
      <x:c r="C59" s="158" t="str">
        <x:v>Token sai chữ ký hoặc hết hạn bị từ chối</x:v>
      </x:c>
      <x:c r="D59" s="158" t="str">
        <x:v>Chưa đánh giá</x:v>
      </x:c>
      <x:c r="E59" s="158" t="str"/>
      <x:c r="F59" s="158" t="str"/>
      <x:c r="G59" s="158" t="str">
        <x:v>Có</x:v>
      </x:c>
    </x:row>
    <x:row r="60" ht="40" customHeight="1">
      <x:c r="A60" s="158" t="n">
        <x:v>10</x:v>
      </x:c>
      <x:c r="B60" s="158" t="str">
        <x:v>Spring Security, OAuth2 và JWT</x:v>
      </x:c>
      <x:c r="C60" s="158" t="str">
        <x:v>USER và ADMIN chỉ truy cập đúng tài nguyên</x:v>
      </x:c>
      <x:c r="D60" s="158" t="str">
        <x:v>Chưa đánh giá</x:v>
      </x:c>
      <x:c r="E60" s="158" t="str"/>
      <x:c r="F60" s="158" t="str"/>
      <x:c r="G60" s="158" t="str">
        <x:v>Có</x:v>
      </x:c>
    </x:row>
    <x:row r="61" ht="40" customHeight="1">
      <x:c r="A61" s="158" t="n">
        <x:v>10</x:v>
      </x:c>
      <x:c r="B61" s="158" t="str">
        <x:v>Spring Security, OAuth2 và JWT</x:v>
      </x:c>
      <x:c r="C61" s="158" t="str">
        <x:v>Không tin cậy role gửi trực tiếp từ client</x:v>
      </x:c>
      <x:c r="D61" s="158" t="str">
        <x:v>Chưa đánh giá</x:v>
      </x:c>
      <x:c r="E61" s="158" t="str"/>
      <x:c r="F61" s="158" t="str"/>
      <x:c r="G61" s="158" t="str">
        <x:v>Có</x:v>
      </x:c>
    </x:row>
    <x:row r="62" ht="40" customHeight="1">
      <x:c r="A62" s="158" t="n">
        <x:v>10</x:v>
      </x:c>
      <x:c r="B62" s="158" t="str">
        <x:v>Spring Security, OAuth2 và JWT</x:v>
      </x:c>
      <x:c r="C62" s="158" t="str">
        <x:v>Không ghi token hoặc dữ liệu nhạy cảm vào log</x:v>
      </x:c>
      <x:c r="D62" s="158" t="str">
        <x:v>Chưa đánh giá</x:v>
      </x:c>
      <x:c r="E62" s="158" t="str"/>
      <x:c r="F62" s="158" t="str"/>
      <x:c r="G62" s="158" t="str">
        <x:v>Có</x:v>
      </x:c>
    </x:row>
    <x:row r="63" ht="40" customHeight="1">
      <x:c r="A63" s="158" t="n">
        <x:v>10</x:v>
      </x:c>
      <x:c r="B63" s="158" t="str">
        <x:v>Spring Security, OAuth2 và JWT</x:v>
      </x:c>
      <x:c r="C63" s="158" t="str">
        <x:v>Có ít nhất 10 kiểm thử bảo mật</x:v>
      </x:c>
      <x:c r="D63" s="158" t="str">
        <x:v>Chưa đánh giá</x:v>
      </x:c>
      <x:c r="E63" s="158" t="str"/>
      <x:c r="F63" s="158" t="str"/>
      <x:c r="G63" s="158" t="str">
        <x:v>Có</x:v>
      </x:c>
    </x:row>
    <x:row r="64" ht="40" customHeight="1">
      <x:c r="A64" s="158" t="n">
        <x:v>10</x:v>
      </x:c>
      <x:c r="B64" s="158" t="str">
        <x:v>Spring Security, OAuth2 và JWT</x:v>
      </x:c>
      <x:c r="C64" s="158" t="str">
        <x:v>Threat model liệt kê tài sản, tác nhân và biện pháp</x:v>
      </x:c>
      <x:c r="D64" s="158" t="str">
        <x:v>Chưa đánh giá</x:v>
      </x:c>
      <x:c r="E64" s="158" t="str"/>
      <x:c r="F64" s="158" t="str"/>
      <x:c r="G64" s="158" t="str">
        <x:v>Có</x:v>
      </x:c>
    </x:row>
    <x:row r="65" ht="40" customHeight="1">
      <x:c r="A65" s="158" t="n">
        <x:v>11</x:v>
      </x:c>
      <x:c r="B65" s="158" t="str">
        <x:v>Docker, Compose và tích hợp liên tục</x:v>
      </x:c>
      <x:c r="C65" s="158" t="str">
        <x:v>Docker image dùng multi-stage build</x:v>
      </x:c>
      <x:c r="D65" s="158" t="str">
        <x:v>Chưa đánh giá</x:v>
      </x:c>
      <x:c r="E65" s="158" t="str"/>
      <x:c r="F65" s="158" t="str"/>
      <x:c r="G65" s="158" t="str">
        <x:v>Có</x:v>
      </x:c>
    </x:row>
    <x:row r="66" ht="40" customHeight="1">
      <x:c r="A66" s="158" t="n">
        <x:v>11</x:v>
      </x:c>
      <x:c r="B66" s="158" t="str">
        <x:v>Docker, Compose và tích hợp liên tục</x:v>
      </x:c>
      <x:c r="C66" s="158" t="str">
        <x:v>Container chạy bằng người dùng không phải root</x:v>
      </x:c>
      <x:c r="D66" s="158" t="str">
        <x:v>Chưa đánh giá</x:v>
      </x:c>
      <x:c r="E66" s="158" t="str"/>
      <x:c r="F66" s="158" t="str"/>
      <x:c r="G66" s="158" t="str">
        <x:v>Có</x:v>
      </x:c>
    </x:row>
    <x:row r="67" ht="40" customHeight="1">
      <x:c r="A67" s="158" t="n">
        <x:v>11</x:v>
      </x:c>
      <x:c r="B67" s="158" t="str">
        <x:v>Docker, Compose và tích hợp liên tục</x:v>
      </x:c>
      <x:c r="C67" s="158" t="str">
        <x:v>Compose có healthcheck và persistent volume</x:v>
      </x:c>
      <x:c r="D67" s="158" t="str">
        <x:v>Chưa đánh giá</x:v>
      </x:c>
      <x:c r="E67" s="158" t="str"/>
      <x:c r="F67" s="158" t="str"/>
      <x:c r="G67" s="158" t="str">
        <x:v>Có</x:v>
      </x:c>
    </x:row>
    <x:row r="68" ht="40" customHeight="1">
      <x:c r="A68" s="158" t="n">
        <x:v>11</x:v>
      </x:c>
      <x:c r="B68" s="158" t="str">
        <x:v>Docker, Compose và tích hợp liên tục</x:v>
      </x:c>
      <x:c r="C68" s="158" t="str">
        <x:v>Không đưa bí mật vào image hoặc repository</x:v>
      </x:c>
      <x:c r="D68" s="158" t="str">
        <x:v>Chưa đánh giá</x:v>
      </x:c>
      <x:c r="E68" s="158" t="str"/>
      <x:c r="F68" s="158" t="str"/>
      <x:c r="G68" s="158" t="str">
        <x:v>Có</x:v>
      </x:c>
    </x:row>
    <x:row r="69" ht="40" customHeight="1">
      <x:c r="A69" s="158" t="n">
        <x:v>11</x:v>
      </x:c>
      <x:c r="B69" s="158" t="str">
        <x:v>Docker, Compose và tích hợp liên tục</x:v>
      </x:c>
      <x:c r="C69" s="158" t="str">
        <x:v>Pipeline thực hiện build và test tự động</x:v>
      </x:c>
      <x:c r="D69" s="158" t="str">
        <x:v>Chưa đánh giá</x:v>
      </x:c>
      <x:c r="E69" s="158" t="str"/>
      <x:c r="F69" s="158" t="str"/>
      <x:c r="G69" s="158" t="str">
        <x:v>Có</x:v>
      </x:c>
    </x:row>
    <x:row r="70" ht="40" customHeight="1">
      <x:c r="A70" s="158" t="n">
        <x:v>11</x:v>
      </x:c>
      <x:c r="B70" s="158" t="str">
        <x:v>Docker, Compose và tích hợp liên tục</x:v>
      </x:c>
      <x:c r="C70" s="158" t="str">
        <x:v>Người khác có thể chạy hệ thống theo README</x:v>
      </x:c>
      <x:c r="D70" s="158" t="str">
        <x:v>Chưa đánh giá</x:v>
      </x:c>
      <x:c r="E70" s="158" t="str"/>
      <x:c r="F70" s="158" t="str"/>
      <x:c r="G70" s="158" t="str">
        <x:v>Có</x:v>
      </x:c>
    </x:row>
    <x:row r="71" ht="40" customHeight="1">
      <x:c r="A71" s="158" t="n">
        <x:v>12</x:v>
      </x:c>
      <x:c r="B71" s="158" t="str">
        <x:v>Redis: cache, rate limit và khóa</x:v>
      </x:c>
      <x:c r="C71" s="158" t="str">
        <x:v>Cache có TTL và quy tắc đặt key rõ ràng</x:v>
      </x:c>
      <x:c r="D71" s="158" t="str">
        <x:v>Chưa đánh giá</x:v>
      </x:c>
      <x:c r="E71" s="158" t="str"/>
      <x:c r="F71" s="158" t="str"/>
      <x:c r="G71" s="158" t="str">
        <x:v>Có</x:v>
      </x:c>
    </x:row>
    <x:row r="72" ht="40" customHeight="1">
      <x:c r="A72" s="158" t="n">
        <x:v>12</x:v>
      </x:c>
      <x:c r="B72" s="158" t="str">
        <x:v>Redis: cache, rate limit và khóa</x:v>
      </x:c>
      <x:c r="C72" s="158" t="str">
        <x:v>Dữ liệu được vô hiệu hóa sau thay đổi số dư</x:v>
      </x:c>
      <x:c r="D72" s="158" t="str">
        <x:v>Chưa đánh giá</x:v>
      </x:c>
      <x:c r="E72" s="158" t="str"/>
      <x:c r="F72" s="158" t="str"/>
      <x:c r="G72" s="158" t="str">
        <x:v>Có</x:v>
      </x:c>
    </x:row>
    <x:row r="73" ht="40" customHeight="1">
      <x:c r="A73" s="158" t="n">
        <x:v>12</x:v>
      </x:c>
      <x:c r="B73" s="158" t="str">
        <x:v>Redis: cache, rate limit và khóa</x:v>
      </x:c>
      <x:c r="C73" s="158" t="str">
        <x:v>Cache lỗi không làm mất dữ liệu nguồn</x:v>
      </x:c>
      <x:c r="D73" s="158" t="str">
        <x:v>Chưa đánh giá</x:v>
      </x:c>
      <x:c r="E73" s="158" t="str"/>
      <x:c r="F73" s="158" t="str"/>
      <x:c r="G73" s="158" t="str">
        <x:v>Có</x:v>
      </x:c>
    </x:row>
    <x:row r="74" ht="40" customHeight="1">
      <x:c r="A74" s="158" t="n">
        <x:v>12</x:v>
      </x:c>
      <x:c r="B74" s="158" t="str">
        <x:v>Redis: cache, rate limit và khóa</x:v>
      </x:c>
      <x:c r="C74" s="158" t="str">
        <x:v>Rate limiter chặn đúng ngưỡng cấu hình</x:v>
      </x:c>
      <x:c r="D74" s="158" t="str">
        <x:v>Chưa đánh giá</x:v>
      </x:c>
      <x:c r="E74" s="158" t="str"/>
      <x:c r="F74" s="158" t="str"/>
      <x:c r="G74" s="158" t="str">
        <x:v>Có</x:v>
      </x:c>
    </x:row>
    <x:row r="75" ht="40" customHeight="1">
      <x:c r="A75" s="158" t="n">
        <x:v>12</x:v>
      </x:c>
      <x:c r="B75" s="158" t="str">
        <x:v>Redis: cache, rate limit và khóa</x:v>
      </x:c>
      <x:c r="C75" s="158" t="str">
        <x:v>Khóa có thời hạn và chỉ chủ sở hữu được mở</x:v>
      </x:c>
      <x:c r="D75" s="158" t="str">
        <x:v>Chưa đánh giá</x:v>
      </x:c>
      <x:c r="E75" s="158" t="str"/>
      <x:c r="F75" s="158" t="str"/>
      <x:c r="G75" s="158" t="str">
        <x:v>Có</x:v>
      </x:c>
    </x:row>
    <x:row r="76" ht="40" customHeight="1">
      <x:c r="A76" s="158" t="n">
        <x:v>12</x:v>
      </x:c>
      <x:c r="B76" s="158" t="str">
        <x:v>Redis: cache, rate limit và khóa</x:v>
      </x:c>
      <x:c r="C76" s="158" t="str">
        <x:v>Có đo hit rate và độ trễ trước–sau</x:v>
      </x:c>
      <x:c r="D76" s="158" t="str">
        <x:v>Chưa đánh giá</x:v>
      </x:c>
      <x:c r="E76" s="158" t="str"/>
      <x:c r="F76" s="158" t="str"/>
      <x:c r="G76" s="158" t="str">
        <x:v>Có</x:v>
      </x:c>
    </x:row>
    <x:row r="77" ht="40" customHeight="1">
      <x:c r="A77" s="158" t="n">
        <x:v>13</x:v>
      </x:c>
      <x:c r="B77" s="158" t="str">
        <x:v>Kafka căn bản</x:v>
      </x:c>
      <x:c r="C77" s="158" t="str">
        <x:v>Thông điệp cùng accountId đi vào cùng partition</x:v>
      </x:c>
      <x:c r="D77" s="158" t="str">
        <x:v>Chưa đánh giá</x:v>
      </x:c>
      <x:c r="E77" s="158" t="str"/>
      <x:c r="F77" s="158" t="str"/>
      <x:c r="G77" s="158" t="str">
        <x:v>Có</x:v>
      </x:c>
    </x:row>
    <x:row r="78" ht="40" customHeight="1">
      <x:c r="A78" s="158" t="n">
        <x:v>13</x:v>
      </x:c>
      <x:c r="B78" s="158" t="str">
        <x:v>Kafka căn bản</x:v>
      </x:c>
      <x:c r="C78" s="158" t="str">
        <x:v>Giải thích được consumer group phân phối tải thế nào</x:v>
      </x:c>
      <x:c r="D78" s="158" t="str">
        <x:v>Chưa đánh giá</x:v>
      </x:c>
      <x:c r="E78" s="158" t="str"/>
      <x:c r="F78" s="158" t="str"/>
      <x:c r="G78" s="158" t="str">
        <x:v>Có</x:v>
      </x:c>
    </x:row>
    <x:row r="79" ht="40" customHeight="1">
      <x:c r="A79" s="158" t="n">
        <x:v>13</x:v>
      </x:c>
      <x:c r="B79" s="158" t="str">
        <x:v>Kafka căn bản</x:v>
      </x:c>
      <x:c r="C79" s="158" t="str">
        <x:v>Theo dõi được offset và consumer lag</x:v>
      </x:c>
      <x:c r="D79" s="158" t="str">
        <x:v>Chưa đánh giá</x:v>
      </x:c>
      <x:c r="E79" s="158" t="str"/>
      <x:c r="F79" s="158" t="str"/>
      <x:c r="G79" s="158" t="str">
        <x:v>Có</x:v>
      </x:c>
    </x:row>
    <x:row r="80" ht="40" customHeight="1">
      <x:c r="A80" s="158" t="n">
        <x:v>13</x:v>
      </x:c>
      <x:c r="B80" s="158" t="str">
        <x:v>Kafka căn bản</x:v>
      </x:c>
      <x:c r="C80" s="158" t="str">
        <x:v>Producer và consumer có schema rõ ràng</x:v>
      </x:c>
      <x:c r="D80" s="158" t="str">
        <x:v>Chưa đánh giá</x:v>
      </x:c>
      <x:c r="E80" s="158" t="str"/>
      <x:c r="F80" s="158" t="str"/>
      <x:c r="G80" s="158" t="str">
        <x:v>Có</x:v>
      </x:c>
    </x:row>
    <x:row r="81" ht="40" customHeight="1">
      <x:c r="A81" s="158" t="n">
        <x:v>13</x:v>
      </x:c>
      <x:c r="B81" s="158" t="str">
        <x:v>Kafka căn bản</x:v>
      </x:c>
      <x:c r="C81" s="158" t="str">
        <x:v>Kiểm thử chạy bằng Kafka container</x:v>
      </x:c>
      <x:c r="D81" s="158" t="str">
        <x:v>Chưa đánh giá</x:v>
      </x:c>
      <x:c r="E81" s="158" t="str"/>
      <x:c r="F81" s="158" t="str"/>
      <x:c r="G81" s="158" t="str">
        <x:v>Có</x:v>
      </x:c>
    </x:row>
    <x:row r="82" ht="40" customHeight="1">
      <x:c r="A82" s="158" t="n">
        <x:v>13</x:v>
      </x:c>
      <x:c r="B82" s="158" t="str">
        <x:v>Kafka căn bản</x:v>
      </x:c>
      <x:c r="C82" s="158" t="str">
        <x:v>Tái hiện được việc thay đổi số consumer</x:v>
      </x:c>
      <x:c r="D82" s="158" t="str">
        <x:v>Chưa đánh giá</x:v>
      </x:c>
      <x:c r="E82" s="158" t="str"/>
      <x:c r="F82" s="158" t="str"/>
      <x:c r="G82" s="158" t="str">
        <x:v>Có</x:v>
      </x:c>
    </x:row>
    <x:row r="83" ht="40" customHeight="1">
      <x:c r="A83" s="158" t="n">
        <x:v>14</x:v>
      </x:c>
      <x:c r="B83" s="158" t="str">
        <x:v>Kafka tin cậy và xử lý lỗi</x:v>
      </x:c>
      <x:c r="C83" s="158" t="str">
        <x:v>Thông điệp lỗi tạm thời được retry có giới hạn</x:v>
      </x:c>
      <x:c r="D83" s="158" t="str">
        <x:v>Chưa đánh giá</x:v>
      </x:c>
      <x:c r="E83" s="158" t="str"/>
      <x:c r="F83" s="158" t="str"/>
      <x:c r="G83" s="158" t="str">
        <x:v>Có</x:v>
      </x:c>
    </x:row>
    <x:row r="84" ht="40" customHeight="1">
      <x:c r="A84" s="158" t="n">
        <x:v>14</x:v>
      </x:c>
      <x:c r="B84" s="158" t="str">
        <x:v>Kafka tin cậy và xử lý lỗi</x:v>
      </x:c>
      <x:c r="C84" s="158" t="str">
        <x:v>Poison message đi vào dead-letter topic</x:v>
      </x:c>
      <x:c r="D84" s="158" t="str">
        <x:v>Chưa đánh giá</x:v>
      </x:c>
      <x:c r="E84" s="158" t="str"/>
      <x:c r="F84" s="158" t="str"/>
      <x:c r="G84" s="158" t="str">
        <x:v>Có</x:v>
      </x:c>
    </x:row>
    <x:row r="85" ht="40" customHeight="1">
      <x:c r="A85" s="158" t="n">
        <x:v>14</x:v>
      </x:c>
      <x:c r="B85" s="158" t="str">
        <x:v>Kafka tin cậy và xử lý lỗi</x:v>
      </x:c>
      <x:c r="C85" s="158" t="str">
        <x:v>Consumer chịu được giao hàng trùng</x:v>
      </x:c>
      <x:c r="D85" s="158" t="str">
        <x:v>Chưa đánh giá</x:v>
      </x:c>
      <x:c r="E85" s="158" t="str"/>
      <x:c r="F85" s="158" t="str"/>
      <x:c r="G85" s="158" t="str">
        <x:v>Có</x:v>
      </x:c>
    </x:row>
    <x:row r="86" ht="40" customHeight="1">
      <x:c r="A86" s="158" t="n">
        <x:v>14</x:v>
      </x:c>
      <x:c r="B86" s="158" t="str">
        <x:v>Kafka tin cậy và xử lý lỗi</x:v>
      </x:c>
      <x:c r="C86" s="158" t="str">
        <x:v>Schema mới vẫn đọc được dữ liệu cũ trong phạm vi thiết kế</x:v>
      </x:c>
      <x:c r="D86" s="158" t="str">
        <x:v>Chưa đánh giá</x:v>
      </x:c>
      <x:c r="E86" s="158" t="str"/>
      <x:c r="F86" s="158" t="str"/>
      <x:c r="G86" s="158" t="str">
        <x:v>Có</x:v>
      </x:c>
    </x:row>
    <x:row r="87" ht="40" customHeight="1">
      <x:c r="A87" s="158" t="n">
        <x:v>14</x:v>
      </x:c>
      <x:c r="B87" s="158" t="str">
        <x:v>Kafka tin cậy và xử lý lỗi</x:v>
      </x:c>
      <x:c r="C87" s="158" t="str">
        <x:v>Có cảnh báo khi consumer lag vượt ngưỡng</x:v>
      </x:c>
      <x:c r="D87" s="158" t="str">
        <x:v>Chưa đánh giá</x:v>
      </x:c>
      <x:c r="E87" s="158" t="str"/>
      <x:c r="F87" s="158" t="str"/>
      <x:c r="G87" s="158" t="str">
        <x:v>Có</x:v>
      </x:c>
    </x:row>
    <x:row r="88" ht="40" customHeight="1">
      <x:c r="A88" s="158" t="n">
        <x:v>14</x:v>
      </x:c>
      <x:c r="B88" s="158" t="str">
        <x:v>Kafka tin cậy và xử lý lỗi</x:v>
      </x:c>
      <x:c r="C88" s="158" t="str">
        <x:v>Runbook mô tả cách phát lại thông điệp</x:v>
      </x:c>
      <x:c r="D88" s="158" t="str">
        <x:v>Chưa đánh giá</x:v>
      </x:c>
      <x:c r="E88" s="158" t="str"/>
      <x:c r="F88" s="158" t="str"/>
      <x:c r="G88" s="158" t="str">
        <x:v>Có</x:v>
      </x:c>
    </x:row>
    <x:row r="89" ht="40" customHeight="1">
      <x:c r="A89" s="158" t="n">
        <x:v>15</x:v>
      </x:c>
      <x:c r="B89" s="158" t="str">
        <x:v>Timeout, retry và circuit breaker</x:v>
      </x:c>
      <x:c r="C89" s="158" t="str">
        <x:v>Mọi cuộc gọi mạng đều có timeout</x:v>
      </x:c>
      <x:c r="D89" s="158" t="str">
        <x:v>Chưa đánh giá</x:v>
      </x:c>
      <x:c r="E89" s="158" t="str"/>
      <x:c r="F89" s="158" t="str"/>
      <x:c r="G89" s="158" t="str">
        <x:v>Có</x:v>
      </x:c>
    </x:row>
    <x:row r="90" ht="40" customHeight="1">
      <x:c r="A90" s="158" t="n">
        <x:v>15</x:v>
      </x:c>
      <x:c r="B90" s="158" t="str">
        <x:v>Timeout, retry và circuit breaker</x:v>
      </x:c>
      <x:c r="C90" s="158" t="str">
        <x:v>Retry không áp dụng mù quáng cho thao tác không idempotent</x:v>
      </x:c>
      <x:c r="D90" s="158" t="str">
        <x:v>Chưa đánh giá</x:v>
      </x:c>
      <x:c r="E90" s="158" t="str"/>
      <x:c r="F90" s="158" t="str"/>
      <x:c r="G90" s="158" t="str">
        <x:v>Có</x:v>
      </x:c>
    </x:row>
    <x:row r="91" ht="40" customHeight="1">
      <x:c r="A91" s="158" t="n">
        <x:v>15</x:v>
      </x:c>
      <x:c r="B91" s="158" t="str">
        <x:v>Timeout, retry và circuit breaker</x:v>
      </x:c>
      <x:c r="C91" s="158" t="str">
        <x:v>Backoff có giới hạn và jitter</x:v>
      </x:c>
      <x:c r="D91" s="158" t="str">
        <x:v>Chưa đánh giá</x:v>
      </x:c>
      <x:c r="E91" s="158" t="str"/>
      <x:c r="F91" s="158" t="str"/>
      <x:c r="G91" s="158" t="str">
        <x:v>Có</x:v>
      </x:c>
    </x:row>
    <x:row r="92" ht="40" customHeight="1">
      <x:c r="A92" s="158" t="n">
        <x:v>15</x:v>
      </x:c>
      <x:c r="B92" s="158" t="str">
        <x:v>Timeout, retry và circuit breaker</x:v>
      </x:c>
      <x:c r="C92" s="158" t="str">
        <x:v>Circuit breaker mở và phục hồi đúng</x:v>
      </x:c>
      <x:c r="D92" s="158" t="str">
        <x:v>Chưa đánh giá</x:v>
      </x:c>
      <x:c r="E92" s="158" t="str"/>
      <x:c r="F92" s="158" t="str"/>
      <x:c r="G92" s="158" t="str">
        <x:v>Có</x:v>
      </x:c>
    </x:row>
    <x:row r="93" ht="40" customHeight="1">
      <x:c r="A93" s="158" t="n">
        <x:v>15</x:v>
      </x:c>
      <x:c r="B93" s="158" t="str">
        <x:v>Timeout, retry và circuit breaker</x:v>
      </x:c>
      <x:c r="C93" s="158" t="str">
        <x:v>Bulkhead ngăn một tích hợp chiếm toàn bộ tài nguyên</x:v>
      </x:c>
      <x:c r="D93" s="158" t="str">
        <x:v>Chưa đánh giá</x:v>
      </x:c>
      <x:c r="E93" s="158" t="str"/>
      <x:c r="F93" s="158" t="str"/>
      <x:c r="G93" s="158" t="str">
        <x:v>Có</x:v>
      </x:c>
    </x:row>
    <x:row r="94" ht="40" customHeight="1">
      <x:c r="A94" s="158" t="n">
        <x:v>15</x:v>
      </x:c>
      <x:c r="B94" s="158" t="str">
        <x:v>Timeout, retry và circuit breaker</x:v>
      </x:c>
      <x:c r="C94" s="158" t="str">
        <x:v>Metric thể hiện trạng thái và tỷ lệ lỗi</x:v>
      </x:c>
      <x:c r="D94" s="158" t="str">
        <x:v>Chưa đánh giá</x:v>
      </x:c>
      <x:c r="E94" s="158" t="str"/>
      <x:c r="F94" s="158" t="str"/>
      <x:c r="G94" s="158" t="str">
        <x:v>Có</x:v>
      </x:c>
    </x:row>
    <x:row r="95" ht="40" customHeight="1">
      <x:c r="A95" s="158" t="n">
        <x:v>16</x:v>
      </x:c>
      <x:c r="B95" s="158" t="str">
        <x:v>Outbox, Saga và chống xử lý trùng</x:v>
      </x:c>
      <x:c r="C95" s="158" t="str">
        <x:v>Business data và outbox record nằm trong cùng transaction</x:v>
      </x:c>
      <x:c r="D95" s="158" t="str">
        <x:v>Chưa đánh giá</x:v>
      </x:c>
      <x:c r="E95" s="158" t="str"/>
      <x:c r="F95" s="158" t="str"/>
      <x:c r="G95" s="158" t="str">
        <x:v>Có</x:v>
      </x:c>
    </x:row>
    <x:row r="96" ht="40" customHeight="1">
      <x:c r="A96" s="158" t="n">
        <x:v>16</x:v>
      </x:c>
      <x:c r="B96" s="158" t="str">
        <x:v>Outbox, Saga và chống xử lý trùng</x:v>
      </x:c>
      <x:c r="C96" s="158" t="str">
        <x:v>Publisher có thể chạy lại mà không mất sự kiện</x:v>
      </x:c>
      <x:c r="D96" s="158" t="str">
        <x:v>Chưa đánh giá</x:v>
      </x:c>
      <x:c r="E96" s="158" t="str"/>
      <x:c r="F96" s="158" t="str"/>
      <x:c r="G96" s="158" t="str">
        <x:v>Có</x:v>
      </x:c>
    </x:row>
    <x:row r="97" ht="40" customHeight="1">
      <x:c r="A97" s="158" t="n">
        <x:v>16</x:v>
      </x:c>
      <x:c r="B97" s="158" t="str">
        <x:v>Outbox, Saga và chống xử lý trùng</x:v>
      </x:c>
      <x:c r="C97" s="158" t="str">
        <x:v>Consumer nhận trùng không tạo tác động trùng</x:v>
      </x:c>
      <x:c r="D97" s="158" t="str">
        <x:v>Chưa đánh giá</x:v>
      </x:c>
      <x:c r="E97" s="158" t="str"/>
      <x:c r="F97" s="158" t="str"/>
      <x:c r="G97" s="158" t="str">
        <x:v>Có</x:v>
      </x:c>
    </x:row>
    <x:row r="98" ht="40" customHeight="1">
      <x:c r="A98" s="158" t="n">
        <x:v>16</x:v>
      </x:c>
      <x:c r="B98" s="158" t="str">
        <x:v>Outbox, Saga và chống xử lý trùng</x:v>
      </x:c>
      <x:c r="C98" s="158" t="str">
        <x:v>Có trạng thái và timeout cho saga</x:v>
      </x:c>
      <x:c r="D98" s="158" t="str">
        <x:v>Chưa đánh giá</x:v>
      </x:c>
      <x:c r="E98" s="158" t="str"/>
      <x:c r="F98" s="158" t="str"/>
      <x:c r="G98" s="158" t="str">
        <x:v>Có</x:v>
      </x:c>
    </x:row>
    <x:row r="99" ht="40" customHeight="1">
      <x:c r="A99" s="158" t="n">
        <x:v>16</x:v>
      </x:c>
      <x:c r="B99" s="158" t="str">
        <x:v>Outbox, Saga và chống xử lý trùng</x:v>
      </x:c>
      <x:c r="C99" s="158" t="str">
        <x:v>Compensation được mô tả cho từng bước lỗi</x:v>
      </x:c>
      <x:c r="D99" s="158" t="str">
        <x:v>Chưa đánh giá</x:v>
      </x:c>
      <x:c r="E99" s="158" t="str"/>
      <x:c r="F99" s="158" t="str"/>
      <x:c r="G99" s="158" t="str">
        <x:v>Có</x:v>
      </x:c>
    </x:row>
    <x:row r="100" ht="40" customHeight="1">
      <x:c r="A100" s="158" t="n">
        <x:v>16</x:v>
      </x:c>
      <x:c r="B100" s="158" t="str">
        <x:v>Outbox, Saga và chống xử lý trùng</x:v>
      </x:c>
      <x:c r="C100" s="158" t="str">
        <x:v>Kiểm thử chứng minh phục hồi sau khi tiến trình dừng</x:v>
      </x:c>
      <x:c r="D100" s="158" t="str">
        <x:v>Chưa đánh giá</x:v>
      </x:c>
      <x:c r="E100" s="158" t="str"/>
      <x:c r="F100" s="158" t="str"/>
      <x:c r="G100" s="158" t="str">
        <x:v>Có</x:v>
      </x:c>
    </x:row>
    <x:row r="101" ht="40" customHeight="1">
      <x:c r="A101" s="158" t="n">
        <x:v>17</x:v>
      </x:c>
      <x:c r="B101" s="158" t="str">
        <x:v>Log, metric, trace và cảnh báo</x:v>
      </x:c>
      <x:c r="C101" s="158" t="str">
        <x:v>Log có cấu trúc và correlation ID</x:v>
      </x:c>
      <x:c r="D101" s="158" t="str">
        <x:v>Chưa đánh giá</x:v>
      </x:c>
      <x:c r="E101" s="158" t="str"/>
      <x:c r="F101" s="158" t="str"/>
      <x:c r="G101" s="158" t="str">
        <x:v>Có</x:v>
      </x:c>
    </x:row>
    <x:row r="102" ht="40" customHeight="1">
      <x:c r="A102" s="158" t="n">
        <x:v>17</x:v>
      </x:c>
      <x:c r="B102" s="158" t="str">
        <x:v>Log, metric, trace và cảnh báo</x:v>
      </x:c>
      <x:c r="C102" s="158" t="str">
        <x:v>Không có bí mật hoặc dữ liệu nhạy cảm trong log</x:v>
      </x:c>
      <x:c r="D102" s="158" t="str">
        <x:v>Chưa đánh giá</x:v>
      </x:c>
      <x:c r="E102" s="158" t="str"/>
      <x:c r="F102" s="158" t="str"/>
      <x:c r="G102" s="158" t="str">
        <x:v>Có</x:v>
      </x:c>
    </x:row>
    <x:row r="103" ht="40" customHeight="1">
      <x:c r="A103" s="158" t="n">
        <x:v>17</x:v>
      </x:c>
      <x:c r="B103" s="158" t="str">
        <x:v>Log, metric, trace và cảnh báo</x:v>
      </x:c>
      <x:c r="C103" s="158" t="str">
        <x:v>Có metric rate, error và duration</x:v>
      </x:c>
      <x:c r="D103" s="158" t="str">
        <x:v>Chưa đánh giá</x:v>
      </x:c>
      <x:c r="E103" s="158" t="str"/>
      <x:c r="F103" s="158" t="str"/>
      <x:c r="G103" s="158" t="str">
        <x:v>Có</x:v>
      </x:c>
    </x:row>
    <x:row r="104" ht="40" customHeight="1">
      <x:c r="A104" s="158" t="n">
        <x:v>17</x:v>
      </x:c>
      <x:c r="B104" s="158" t="str">
        <x:v>Log, metric, trace và cảnh báo</x:v>
      </x:c>
      <x:c r="C104" s="158" t="str">
        <x:v>Trace nối được producer với consumer</x:v>
      </x:c>
      <x:c r="D104" s="158" t="str">
        <x:v>Chưa đánh giá</x:v>
      </x:c>
      <x:c r="E104" s="158" t="str"/>
      <x:c r="F104" s="158" t="str"/>
      <x:c r="G104" s="158" t="str">
        <x:v>Có</x:v>
      </x:c>
    </x:row>
    <x:row r="105" ht="40" customHeight="1">
      <x:c r="A105" s="158" t="n">
        <x:v>17</x:v>
      </x:c>
      <x:c r="B105" s="158" t="str">
        <x:v>Log, metric, trace và cảnh báo</x:v>
      </x:c>
      <x:c r="C105" s="158" t="str">
        <x:v>Dashboard trả lời được hệ thống có khỏe hay không</x:v>
      </x:c>
      <x:c r="D105" s="158" t="str">
        <x:v>Chưa đánh giá</x:v>
      </x:c>
      <x:c r="E105" s="158" t="str"/>
      <x:c r="F105" s="158" t="str"/>
      <x:c r="G105" s="158" t="str">
        <x:v>Có</x:v>
      </x:c>
    </x:row>
    <x:row r="106" ht="40" customHeight="1">
      <x:c r="A106" s="158" t="n">
        <x:v>17</x:v>
      </x:c>
      <x:c r="B106" s="158" t="str">
        <x:v>Log, metric, trace và cảnh báo</x:v>
      </x:c>
      <x:c r="C106" s="158" t="str">
        <x:v>Alert có ngưỡng, mức độ và hành động xử lý</x:v>
      </x:c>
      <x:c r="D106" s="158" t="str">
        <x:v>Chưa đánh giá</x:v>
      </x:c>
      <x:c r="E106" s="158" t="str"/>
      <x:c r="F106" s="158" t="str"/>
      <x:c r="G106" s="158" t="str">
        <x:v>Có</x:v>
      </x:c>
    </x:row>
    <x:row r="107" ht="40" customHeight="1">
      <x:c r="A107" s="158" t="n">
        <x:v>18</x:v>
      </x:c>
      <x:c r="B107" s="158" t="str">
        <x:v>Nghiệp vụ tài khoản, số dư và sổ cái</x:v>
      </x:c>
      <x:c r="C107" s="158" t="str">
        <x:v>Phân biệt được tài khoản khách hàng và tài khoản sổ cái</x:v>
      </x:c>
      <x:c r="D107" s="158" t="str">
        <x:v>Chưa đánh giá</x:v>
      </x:c>
      <x:c r="E107" s="158" t="str"/>
      <x:c r="F107" s="158" t="str"/>
      <x:c r="G107" s="158" t="str">
        <x:v>Có</x:v>
      </x:c>
    </x:row>
    <x:row r="108" ht="40" customHeight="1">
      <x:c r="A108" s="158" t="n">
        <x:v>18</x:v>
      </x:c>
      <x:c r="B108" s="158" t="str">
        <x:v>Nghiệp vụ tài khoản, số dư và sổ cái</x:v>
      </x:c>
      <x:c r="C108" s="158" t="str">
        <x:v>Định nghĩa rõ posted, pending và available balance</x:v>
      </x:c>
      <x:c r="D108" s="158" t="str">
        <x:v>Chưa đánh giá</x:v>
      </x:c>
      <x:c r="E108" s="158" t="str"/>
      <x:c r="F108" s="158" t="str"/>
      <x:c r="G108" s="158" t="str">
        <x:v>Có</x:v>
      </x:c>
    </x:row>
    <x:row r="109" ht="40" customHeight="1">
      <x:c r="A109" s="158" t="n">
        <x:v>18</x:v>
      </x:c>
      <x:c r="B109" s="158" t="str">
        <x:v>Nghiệp vụ tài khoản, số dư và sổ cái</x:v>
      </x:c>
      <x:c r="C109" s="158" t="str">
        <x:v>Mọi chuyển động tiền đều có nguồn và đích</x:v>
      </x:c>
      <x:c r="D109" s="158" t="str">
        <x:v>Chưa đánh giá</x:v>
      </x:c>
      <x:c r="E109" s="158" t="str"/>
      <x:c r="F109" s="158" t="str"/>
      <x:c r="G109" s="158" t="str">
        <x:v>Có</x:v>
      </x:c>
    </x:row>
    <x:row r="110" ht="40" customHeight="1">
      <x:c r="A110" s="158" t="n">
        <x:v>18</x:v>
      </x:c>
      <x:c r="B110" s="158" t="str">
        <x:v>Nghiệp vụ tài khoản, số dư và sổ cái</x:v>
      </x:c>
      <x:c r="C110" s="158" t="str">
        <x:v>Sổ cái là nguồn dữ liệu chuẩn của số dư</x:v>
      </x:c>
      <x:c r="D110" s="158" t="str">
        <x:v>Chưa đánh giá</x:v>
      </x:c>
      <x:c r="E110" s="158" t="str"/>
      <x:c r="F110" s="158" t="str"/>
      <x:c r="G110" s="158" t="str">
        <x:v>Có</x:v>
      </x:c>
    </x:row>
    <x:row r="111" ht="40" customHeight="1">
      <x:c r="A111" s="158" t="n">
        <x:v>18</x:v>
      </x:c>
      <x:c r="B111" s="158" t="str">
        <x:v>Nghiệp vụ tài khoản, số dư và sổ cái</x:v>
      </x:c>
      <x:c r="C111" s="158" t="str">
        <x:v>Có quy tắc đảo thay vì sửa giao dịch cũ</x:v>
      </x:c>
      <x:c r="D111" s="158" t="str">
        <x:v>Chưa đánh giá</x:v>
      </x:c>
      <x:c r="E111" s="158" t="str"/>
      <x:c r="F111" s="158" t="str"/>
      <x:c r="G111" s="158" t="str">
        <x:v>Có</x:v>
      </x:c>
    </x:row>
    <x:row r="112" ht="40" customHeight="1">
      <x:c r="A112" s="158" t="n">
        <x:v>18</x:v>
      </x:c>
      <x:c r="B112" s="158" t="str">
        <x:v>Nghiệp vụ tài khoản, số dư và sổ cái</x:v>
      </x:c>
      <x:c r="C112" s="158" t="str">
        <x:v>Từ điển nghiệp vụ được viết song ngữ</x:v>
      </x:c>
      <x:c r="D112" s="158" t="str">
        <x:v>Chưa đánh giá</x:v>
      </x:c>
      <x:c r="E112" s="158" t="str"/>
      <x:c r="F112" s="158" t="str"/>
      <x:c r="G112" s="158" t="str">
        <x:v>Có</x:v>
      </x:c>
    </x:row>
    <x:row r="113" ht="40" customHeight="1">
      <x:c r="A113" s="158" t="n">
        <x:v>19</x:v>
      </x:c>
      <x:c r="B113" s="158" t="str">
        <x:v>Kiến trúc dự án ngân hàng</x:v>
      </x:c>
      <x:c r="C113" s="158" t="str">
        <x:v>Phạm vi có danh sách làm và không làm</x:v>
      </x:c>
      <x:c r="D113" s="158" t="str">
        <x:v>Chưa đánh giá</x:v>
      </x:c>
      <x:c r="E113" s="158" t="str"/>
      <x:c r="F113" s="158" t="str"/>
      <x:c r="G113" s="158" t="str">
        <x:v>Có</x:v>
      </x:c>
    </x:row>
    <x:row r="114" ht="40" customHeight="1">
      <x:c r="A114" s="158" t="n">
        <x:v>19</x:v>
      </x:c>
      <x:c r="B114" s="158" t="str">
        <x:v>Kiến trúc dự án ngân hàng</x:v>
      </x:c>
      <x:c r="C114" s="158" t="str">
        <x:v>Mỗi dữ liệu có dịch vụ sở hữu rõ ràng</x:v>
      </x:c>
      <x:c r="D114" s="158" t="str">
        <x:v>Chưa đánh giá</x:v>
      </x:c>
      <x:c r="E114" s="158" t="str"/>
      <x:c r="F114" s="158" t="str"/>
      <x:c r="G114" s="158" t="str">
        <x:v>Có</x:v>
      </x:c>
    </x:row>
    <x:row r="115" ht="40" customHeight="1">
      <x:c r="A115" s="158" t="n">
        <x:v>19</x:v>
      </x:c>
      <x:c r="B115" s="158" t="str">
        <x:v>Kiến trúc dự án ngân hàng</x:v>
      </x:c>
      <x:c r="C115" s="158" t="str">
        <x:v>Luồng đồng bộ và bất đồng bộ có lý do</x:v>
      </x:c>
      <x:c r="D115" s="158" t="str">
        <x:v>Chưa đánh giá</x:v>
      </x:c>
      <x:c r="E115" s="158" t="str"/>
      <x:c r="F115" s="158" t="str"/>
      <x:c r="G115" s="158" t="str">
        <x:v>Có</x:v>
      </x:c>
    </x:row>
    <x:row r="116" ht="40" customHeight="1">
      <x:c r="A116" s="158" t="n">
        <x:v>19</x:v>
      </x:c>
      <x:c r="B116" s="158" t="str">
        <x:v>Kiến trúc dự án ngân hàng</x:v>
      </x:c>
      <x:c r="C116" s="158" t="str">
        <x:v>Có sơ đồ container, component và deployment</x:v>
      </x:c>
      <x:c r="D116" s="158" t="str">
        <x:v>Chưa đánh giá</x:v>
      </x:c>
      <x:c r="E116" s="158" t="str"/>
      <x:c r="F116" s="158" t="str"/>
      <x:c r="G116" s="158" t="str">
        <x:v>Có</x:v>
      </x:c>
    </x:row>
    <x:row r="117" ht="40" customHeight="1">
      <x:c r="A117" s="158" t="n">
        <x:v>19</x:v>
      </x:c>
      <x:c r="B117" s="158" t="str">
        <x:v>Kiến trúc dự án ngân hàng</x:v>
      </x:c>
      <x:c r="C117" s="158" t="str">
        <x:v>Backlog chia thành phần bàn giao theo tuần</x:v>
      </x:c>
      <x:c r="D117" s="158" t="str">
        <x:v>Chưa đánh giá</x:v>
      </x:c>
      <x:c r="E117" s="158" t="str"/>
      <x:c r="F117" s="158" t="str"/>
      <x:c r="G117" s="158" t="str">
        <x:v>Có</x:v>
      </x:c>
    </x:row>
    <x:row r="118" ht="40" customHeight="1">
      <x:c r="A118" s="158" t="n">
        <x:v>19</x:v>
      </x:c>
      <x:c r="B118" s="158" t="str">
        <x:v>Kiến trúc dự án ngân hàng</x:v>
      </x:c>
      <x:c r="C118" s="158" t="str">
        <x:v>Rủi ro kỹ thuật lớn có phương án giảm thiểu</x:v>
      </x:c>
      <x:c r="D118" s="158" t="str">
        <x:v>Chưa đánh giá</x:v>
      </x:c>
      <x:c r="E118" s="158" t="str"/>
      <x:c r="F118" s="158" t="str"/>
      <x:c r="G118" s="158" t="str">
        <x:v>Có</x:v>
      </x:c>
    </x:row>
    <x:row r="119" ht="40" customHeight="1">
      <x:c r="A119" s="158" t="n">
        <x:v>20</x:v>
      </x:c>
      <x:c r="B119" s="158" t="str">
        <x:v>Khách hàng và tài khoản</x:v>
      </x:c>
      <x:c r="C119" s="158" t="str">
        <x:v>Trạng thái tài khoản có chuyển đổi hợp lệ</x:v>
      </x:c>
      <x:c r="D119" s="158" t="str">
        <x:v>Chưa đánh giá</x:v>
      </x:c>
      <x:c r="E119" s="158" t="str"/>
      <x:c r="F119" s="158" t="str"/>
      <x:c r="G119" s="158" t="str">
        <x:v>Có</x:v>
      </x:c>
    </x:row>
    <x:row r="120" ht="40" customHeight="1">
      <x:c r="A120" s="158" t="n">
        <x:v>20</x:v>
      </x:c>
      <x:c r="B120" s="158" t="str">
        <x:v>Khách hàng và tài khoản</x:v>
      </x:c>
      <x:c r="C120" s="158" t="str">
        <x:v>Không tạo trùng định danh khách hàng theo quy tắc</x:v>
      </x:c>
      <x:c r="D120" s="158" t="str">
        <x:v>Chưa đánh giá</x:v>
      </x:c>
      <x:c r="E120" s="158" t="str"/>
      <x:c r="F120" s="158" t="str"/>
      <x:c r="G120" s="158" t="str">
        <x:v>Có</x:v>
      </x:c>
    </x:row>
    <x:row r="121" ht="40" customHeight="1">
      <x:c r="A121" s="158" t="n">
        <x:v>20</x:v>
      </x:c>
      <x:c r="B121" s="158" t="str">
        <x:v>Khách hàng và tài khoản</x:v>
      </x:c>
      <x:c r="C121" s="158" t="str">
        <x:v>Migration có thể chạy từ database rỗng</x:v>
      </x:c>
      <x:c r="D121" s="158" t="str">
        <x:v>Chưa đánh giá</x:v>
      </x:c>
      <x:c r="E121" s="158" t="str"/>
      <x:c r="F121" s="158" t="str"/>
      <x:c r="G121" s="158" t="str">
        <x:v>Có</x:v>
      </x:c>
    </x:row>
    <x:row r="122" ht="40" customHeight="1">
      <x:c r="A122" s="158" t="n">
        <x:v>20</x:v>
      </x:c>
      <x:c r="B122" s="158" t="str">
        <x:v>Khách hàng và tài khoản</x:v>
      </x:c>
      <x:c r="C122" s="158" t="str">
        <x:v>API có phân trang và xử lý lỗi thống nhất</x:v>
      </x:c>
      <x:c r="D122" s="158" t="str">
        <x:v>Chưa đánh giá</x:v>
      </x:c>
      <x:c r="E122" s="158" t="str"/>
      <x:c r="F122" s="158" t="str"/>
      <x:c r="G122" s="158" t="str">
        <x:v>Có</x:v>
      </x:c>
    </x:row>
    <x:row r="123" ht="40" customHeight="1">
      <x:c r="A123" s="158" t="n">
        <x:v>20</x:v>
      </x:c>
      <x:c r="B123" s="158" t="str">
        <x:v>Khách hàng và tài khoản</x:v>
      </x:c>
      <x:c r="C123" s="158" t="str">
        <x:v>Có audit created/updated và actor</x:v>
      </x:c>
      <x:c r="D123" s="158" t="str">
        <x:v>Chưa đánh giá</x:v>
      </x:c>
      <x:c r="E123" s="158" t="str"/>
      <x:c r="F123" s="158" t="str"/>
      <x:c r="G123" s="158" t="str">
        <x:v>Có</x:v>
      </x:c>
    </x:row>
    <x:row r="124" ht="40" customHeight="1">
      <x:c r="A124" s="158" t="n">
        <x:v>20</x:v>
      </x:c>
      <x:c r="B124" s="158" t="str">
        <x:v>Khách hàng và tài khoản</x:v>
      </x:c>
      <x:c r="C124" s="158" t="str">
        <x:v>Integration test chạy với PostgreSQL container</x:v>
      </x:c>
      <x:c r="D124" s="158" t="str">
        <x:v>Chưa đánh giá</x:v>
      </x:c>
      <x:c r="E124" s="158" t="str"/>
      <x:c r="F124" s="158" t="str"/>
      <x:c r="G124" s="158" t="str">
        <x:v>Có</x:v>
      </x:c>
    </x:row>
    <x:row r="125" ht="40" customHeight="1">
      <x:c r="A125" s="158" t="n">
        <x:v>21</x:v>
      </x:c>
      <x:c r="B125" s="158" t="str">
        <x:v>Sổ cái kép và tính bất biến</x:v>
      </x:c>
      <x:c r="C125" s="158" t="str">
        <x:v>Mỗi giao dịch có ít nhất một debit và một credit</x:v>
      </x:c>
      <x:c r="D125" s="158" t="str">
        <x:v>Chưa đánh giá</x:v>
      </x:c>
      <x:c r="E125" s="158" t="str"/>
      <x:c r="F125" s="158" t="str"/>
      <x:c r="G125" s="158" t="str">
        <x:v>Có</x:v>
      </x:c>
    </x:row>
    <x:row r="126" ht="40" customHeight="1">
      <x:c r="A126" s="158" t="n">
        <x:v>21</x:v>
      </x:c>
      <x:c r="B126" s="158" t="str">
        <x:v>Sổ cái kép và tính bất biến</x:v>
      </x:c>
      <x:c r="C126" s="158" t="str">
        <x:v>Tổng debit luôn bằng tổng credit</x:v>
      </x:c>
      <x:c r="D126" s="158" t="str">
        <x:v>Chưa đánh giá</x:v>
      </x:c>
      <x:c r="E126" s="158" t="str"/>
      <x:c r="F126" s="158" t="str"/>
      <x:c r="G126" s="158" t="str">
        <x:v>Có</x:v>
      </x:c>
    </x:row>
    <x:row r="127" ht="40" customHeight="1">
      <x:c r="A127" s="158" t="n">
        <x:v>21</x:v>
      </x:c>
      <x:c r="B127" s="158" t="str">
        <x:v>Sổ cái kép và tính bất biến</x:v>
      </x:c>
      <x:c r="C127" s="158" t="str">
        <x:v>Entry đã ghi không bị sửa hoặc xóa</x:v>
      </x:c>
      <x:c r="D127" s="158" t="str">
        <x:v>Chưa đánh giá</x:v>
      </x:c>
      <x:c r="E127" s="158" t="str"/>
      <x:c r="F127" s="158" t="str"/>
      <x:c r="G127" s="158" t="str">
        <x:v>Có</x:v>
      </x:c>
    </x:row>
    <x:row r="128" ht="40" customHeight="1">
      <x:c r="A128" s="158" t="n">
        <x:v>21</x:v>
      </x:c>
      <x:c r="B128" s="158" t="str">
        <x:v>Sổ cái kép và tính bất biến</x:v>
      </x:c>
      <x:c r="C128" s="158" t="str">
        <x:v>Sai sót được xử lý bằng reversal</x:v>
      </x:c>
      <x:c r="D128" s="158" t="str">
        <x:v>Chưa đánh giá</x:v>
      </x:c>
      <x:c r="E128" s="158" t="str"/>
      <x:c r="F128" s="158" t="str"/>
      <x:c r="G128" s="158" t="str">
        <x:v>Có</x:v>
      </x:c>
    </x:row>
    <x:row r="129" ht="40" customHeight="1">
      <x:c r="A129" s="158" t="n">
        <x:v>21</x:v>
      </x:c>
      <x:c r="B129" s="158" t="str">
        <x:v>Sổ cái kép và tính bất biến</x:v>
      </x:c>
      <x:c r="C129" s="158" t="str">
        <x:v>Số dư được suy ra từ ledger</x:v>
      </x:c>
      <x:c r="D129" s="158" t="str">
        <x:v>Chưa đánh giá</x:v>
      </x:c>
      <x:c r="E129" s="158" t="str"/>
      <x:c r="F129" s="158" t="str"/>
      <x:c r="G129" s="158" t="str">
        <x:v>Có</x:v>
      </x:c>
    </x:row>
    <x:row r="130" ht="40" customHeight="1">
      <x:c r="A130" s="158" t="n">
        <x:v>21</x:v>
      </x:c>
      <x:c r="B130" s="158" t="str">
        <x:v>Sổ cái kép và tính bất biến</x:v>
      </x:c>
      <x:c r="C130" s="158" t="str">
        <x:v>Có kiểm thử bất biến và transaction rollback</x:v>
      </x:c>
      <x:c r="D130" s="158" t="str">
        <x:v>Chưa đánh giá</x:v>
      </x:c>
      <x:c r="E130" s="158" t="str"/>
      <x:c r="F130" s="158" t="str"/>
      <x:c r="G130" s="158" t="str">
        <x:v>Có</x:v>
      </x:c>
    </x:row>
    <x:row r="131" ht="40" customHeight="1">
      <x:c r="A131" s="158" t="n">
        <x:v>22</x:v>
      </x:c>
      <x:c r="B131" s="158" t="str">
        <x:v>Chuyển tiền, khóa và chống chi tiêu hai lần</x:v>
      </x:c>
      <x:c r="C131" s="158" t="str">
        <x:v>Cùng idempotency key chỉ tạo một kết quả</x:v>
      </x:c>
      <x:c r="D131" s="158" t="str">
        <x:v>Chưa đánh giá</x:v>
      </x:c>
      <x:c r="E131" s="158" t="str"/>
      <x:c r="F131" s="158" t="str"/>
      <x:c r="G131" s="158" t="str">
        <x:v>Có</x:v>
      </x:c>
    </x:row>
    <x:row r="132" ht="40" customHeight="1">
      <x:c r="A132" s="158" t="n">
        <x:v>22</x:v>
      </x:c>
      <x:c r="B132" s="158" t="str">
        <x:v>Chuyển tiền, khóa và chống chi tiêu hai lần</x:v>
      </x:c>
      <x:c r="C132" s="158" t="str">
        <x:v>Không có số dư âm ngoài quy tắc cho phép</x:v>
      </x:c>
      <x:c r="D132" s="158" t="str">
        <x:v>Chưa đánh giá</x:v>
      </x:c>
      <x:c r="E132" s="158" t="str"/>
      <x:c r="F132" s="158" t="str"/>
      <x:c r="G132" s="158" t="str">
        <x:v>Có</x:v>
      </x:c>
    </x:row>
    <x:row r="133" ht="40" customHeight="1">
      <x:c r="A133" s="158" t="n">
        <x:v>22</x:v>
      </x:c>
      <x:c r="B133" s="158" t="str">
        <x:v>Chuyển tiền, khóa và chống chi tiêu hai lần</x:v>
      </x:c>
      <x:c r="C133" s="158" t="str">
        <x:v>Khóa được lấy theo thứ tự ổn định để giảm deadlock</x:v>
      </x:c>
      <x:c r="D133" s="158" t="str">
        <x:v>Chưa đánh giá</x:v>
      </x:c>
      <x:c r="E133" s="158" t="str"/>
      <x:c r="F133" s="158" t="str"/>
      <x:c r="G133" s="158" t="str">
        <x:v>Có</x:v>
      </x:c>
    </x:row>
    <x:row r="134" ht="40" customHeight="1">
      <x:c r="A134" s="158" t="n">
        <x:v>22</x:v>
      </x:c>
      <x:c r="B134" s="158" t="str">
        <x:v>Chuyển tiền, khóa và chống chi tiêu hai lần</x:v>
      </x:c>
      <x:c r="C134" s="158" t="str">
        <x:v>Giao dịch lỗi không để lại bút toán một phần</x:v>
      </x:c>
      <x:c r="D134" s="158" t="str">
        <x:v>Chưa đánh giá</x:v>
      </x:c>
      <x:c r="E134" s="158" t="str"/>
      <x:c r="F134" s="158" t="str"/>
      <x:c r="G134" s="158" t="str">
        <x:v>Có</x:v>
      </x:c>
    </x:row>
    <x:row r="135" ht="40" customHeight="1">
      <x:c r="A135" s="158" t="n">
        <x:v>22</x:v>
      </x:c>
      <x:c r="B135" s="158" t="str">
        <x:v>Chuyển tiền, khóa và chống chi tiêu hai lần</x:v>
      </x:c>
      <x:c r="C135" s="158" t="str">
        <x:v>Kiểm thử có ít nhất 100 yêu cầu cạnh tranh</x:v>
      </x:c>
      <x:c r="D135" s="158" t="str">
        <x:v>Chưa đánh giá</x:v>
      </x:c>
      <x:c r="E135" s="158" t="str"/>
      <x:c r="F135" s="158" t="str"/>
      <x:c r="G135" s="158" t="str">
        <x:v>Có</x:v>
      </x:c>
    </x:row>
    <x:row r="136" ht="40" customHeight="1">
      <x:c r="A136" s="158" t="n">
        <x:v>22</x:v>
      </x:c>
      <x:c r="B136" s="158" t="str">
        <x:v>Chuyển tiền, khóa và chống chi tiêu hai lần</x:v>
      </x:c>
      <x:c r="C136" s="158" t="str">
        <x:v>Có số liệu tỷ lệ thành công và thời gian phản hồi</x:v>
      </x:c>
      <x:c r="D136" s="158" t="str">
        <x:v>Chưa đánh giá</x:v>
      </x:c>
      <x:c r="E136" s="158" t="str"/>
      <x:c r="F136" s="158" t="str"/>
      <x:c r="G136" s="158" t="str">
        <x:v>Có</x:v>
      </x:c>
    </x:row>
    <x:row r="137" ht="40" customHeight="1">
      <x:c r="A137" s="158" t="n">
        <x:v>23</x:v>
      </x:c>
      <x:c r="B137" s="158" t="str">
        <x:v>Outbox và sự kiện giao dịch</x:v>
      </x:c>
      <x:c r="C137" s="158" t="str">
        <x:v>Không mất sự kiện khi dừng ứng dụng sau commit</x:v>
      </x:c>
      <x:c r="D137" s="158" t="str">
        <x:v>Chưa đánh giá</x:v>
      </x:c>
      <x:c r="E137" s="158" t="str"/>
      <x:c r="F137" s="158" t="str"/>
      <x:c r="G137" s="158" t="str">
        <x:v>Có</x:v>
      </x:c>
    </x:row>
    <x:row r="138" ht="40" customHeight="1">
      <x:c r="A138" s="158" t="n">
        <x:v>23</x:v>
      </x:c>
      <x:c r="B138" s="158" t="str">
        <x:v>Outbox và sự kiện giao dịch</x:v>
      </x:c>
      <x:c r="C138" s="158" t="str">
        <x:v>Consumer xử lý trùng an toàn</x:v>
      </x:c>
      <x:c r="D138" s="158" t="str">
        <x:v>Chưa đánh giá</x:v>
      </x:c>
      <x:c r="E138" s="158" t="str"/>
      <x:c r="F138" s="158" t="str"/>
      <x:c r="G138" s="158" t="str">
        <x:v>Có</x:v>
      </x:c>
    </x:row>
    <x:row r="139" ht="40" customHeight="1">
      <x:c r="A139" s="158" t="n">
        <x:v>23</x:v>
      </x:c>
      <x:c r="B139" s="158" t="str">
        <x:v>Outbox và sự kiện giao dịch</x:v>
      </x:c>
      <x:c r="C139" s="158" t="str">
        <x:v>Event có version và metadata truy vết</x:v>
      </x:c>
      <x:c r="D139" s="158" t="str">
        <x:v>Chưa đánh giá</x:v>
      </x:c>
      <x:c r="E139" s="158" t="str"/>
      <x:c r="F139" s="158" t="str"/>
      <x:c r="G139" s="158" t="str">
        <x:v>Có</x:v>
      </x:c>
    </x:row>
    <x:row r="140" ht="40" customHeight="1">
      <x:c r="A140" s="158" t="n">
        <x:v>23</x:v>
      </x:c>
      <x:c r="B140" s="158" t="str">
        <x:v>Outbox và sự kiện giao dịch</x:v>
      </x:c>
      <x:c r="C140" s="158" t="str">
        <x:v>Retry và dead-letter topic hoạt động</x:v>
      </x:c>
      <x:c r="D140" s="158" t="str">
        <x:v>Chưa đánh giá</x:v>
      </x:c>
      <x:c r="E140" s="158" t="str"/>
      <x:c r="F140" s="158" t="str"/>
      <x:c r="G140" s="158" t="str">
        <x:v>Có</x:v>
      </x:c>
    </x:row>
    <x:row r="141" ht="40" customHeight="1">
      <x:c r="A141" s="158" t="n">
        <x:v>23</x:v>
      </x:c>
      <x:c r="B141" s="158" t="str">
        <x:v>Outbox và sự kiện giao dịch</x:v>
      </x:c>
      <x:c r="C141" s="158" t="str">
        <x:v>Có cơ chế phát lại theo khoảng offset</x:v>
      </x:c>
      <x:c r="D141" s="158" t="str">
        <x:v>Chưa đánh giá</x:v>
      </x:c>
      <x:c r="E141" s="158" t="str"/>
      <x:c r="F141" s="158" t="str"/>
      <x:c r="G141" s="158" t="str">
        <x:v>Có</x:v>
      </x:c>
    </x:row>
    <x:row r="142" ht="40" customHeight="1">
      <x:c r="A142" s="158" t="n">
        <x:v>23</x:v>
      </x:c>
      <x:c r="B142" s="158" t="str">
        <x:v>Outbox và sự kiện giao dịch</x:v>
      </x:c>
      <x:c r="C142" s="158" t="str">
        <x:v>Dashboard hiển thị outbox tồn và consumer lag</x:v>
      </x:c>
      <x:c r="D142" s="158" t="str">
        <x:v>Chưa đánh giá</x:v>
      </x:c>
      <x:c r="E142" s="158" t="str"/>
      <x:c r="F142" s="158" t="str"/>
      <x:c r="G142" s="158" t="str">
        <x:v>Có</x:v>
      </x:c>
    </x:row>
    <x:row r="143" ht="40" customHeight="1">
      <x:c r="A143" s="158" t="n">
        <x:v>24</x:v>
      </x:c>
      <x:c r="B143" s="158" t="str">
        <x:v>Bảo mật và nhật ký kiểm toán</x:v>
      </x:c>
      <x:c r="C143" s="158" t="str">
        <x:v>Người dùng chỉ xem được tài khoản được cấp quyền</x:v>
      </x:c>
      <x:c r="D143" s="158" t="str">
        <x:v>Chưa đánh giá</x:v>
      </x:c>
      <x:c r="E143" s="158" t="str"/>
      <x:c r="F143" s="158" t="str"/>
      <x:c r="G143" s="158" t="str">
        <x:v>Có</x:v>
      </x:c>
    </x:row>
    <x:row r="144" ht="40" customHeight="1">
      <x:c r="A144" s="158" t="n">
        <x:v>24</x:v>
      </x:c>
      <x:c r="B144" s="158" t="str">
        <x:v>Bảo mật và nhật ký kiểm toán</x:v>
      </x:c>
      <x:c r="C144" s="158" t="str">
        <x:v>Thao tác quản trị yêu cầu quyền riêng</x:v>
      </x:c>
      <x:c r="D144" s="158" t="str">
        <x:v>Chưa đánh giá</x:v>
      </x:c>
      <x:c r="E144" s="158" t="str"/>
      <x:c r="F144" s="158" t="str"/>
      <x:c r="G144" s="158" t="str">
        <x:v>Có</x:v>
      </x:c>
    </x:row>
    <x:row r="145" ht="40" customHeight="1">
      <x:c r="A145" s="158" t="n">
        <x:v>24</x:v>
      </x:c>
      <x:c r="B145" s="158" t="str">
        <x:v>Bảo mật và nhật ký kiểm toán</x:v>
      </x:c>
      <x:c r="C145" s="158" t="str">
        <x:v>Audit log ghi actor, thời gian, hành động và kết quả</x:v>
      </x:c>
      <x:c r="D145" s="158" t="str">
        <x:v>Chưa đánh giá</x:v>
      </x:c>
      <x:c r="E145" s="158" t="str"/>
      <x:c r="F145" s="158" t="str"/>
      <x:c r="G145" s="158" t="str">
        <x:v>Có</x:v>
      </x:c>
    </x:row>
    <x:row r="146" ht="40" customHeight="1">
      <x:c r="A146" s="158" t="n">
        <x:v>24</x:v>
      </x:c>
      <x:c r="B146" s="158" t="str">
        <x:v>Bảo mật và nhật ký kiểm toán</x:v>
      </x:c>
      <x:c r="C146" s="158" t="str">
        <x:v>Dữ liệu nhạy cảm được che trong log</x:v>
      </x:c>
      <x:c r="D146" s="158" t="str">
        <x:v>Chưa đánh giá</x:v>
      </x:c>
      <x:c r="E146" s="158" t="str"/>
      <x:c r="F146" s="158" t="str"/>
      <x:c r="G146" s="158" t="str">
        <x:v>Có</x:v>
      </x:c>
    </x:row>
    <x:row r="147" ht="40" customHeight="1">
      <x:c r="A147" s="158" t="n">
        <x:v>24</x:v>
      </x:c>
      <x:c r="B147" s="158" t="str">
        <x:v>Bảo mật và nhật ký kiểm toán</x:v>
      </x:c>
      <x:c r="C147" s="158" t="str">
        <x:v>Có kiểm thử truy cập ngang và leo thang quyền</x:v>
      </x:c>
      <x:c r="D147" s="158" t="str">
        <x:v>Chưa đánh giá</x:v>
      </x:c>
      <x:c r="E147" s="158" t="str"/>
      <x:c r="F147" s="158" t="str"/>
      <x:c r="G147" s="158" t="str">
        <x:v>Có</x:v>
      </x:c>
    </x:row>
    <x:row r="148" ht="40" customHeight="1">
      <x:c r="A148" s="158" t="n">
        <x:v>24</x:v>
      </x:c>
      <x:c r="B148" s="158" t="str">
        <x:v>Bảo mật và nhật ký kiểm toán</x:v>
      </x:c>
      <x:c r="C148" s="158" t="str">
        <x:v>Threat model được cập nhật theo triển khai thực tế</x:v>
      </x:c>
      <x:c r="D148" s="158" t="str">
        <x:v>Chưa đánh giá</x:v>
      </x:c>
      <x:c r="E148" s="158" t="str"/>
      <x:c r="F148" s="158" t="str"/>
      <x:c r="G148" s="158" t="str">
        <x:v>Có</x:v>
      </x:c>
    </x:row>
    <x:row r="149" ht="40" customHeight="1">
      <x:c r="A149" s="158" t="n">
        <x:v>25</x:v>
      </x:c>
      <x:c r="B149" s="158" t="str">
        <x:v>Kiểm thử tải và khả năng quan sát</x:v>
      </x:c>
      <x:c r="C149" s="158" t="str">
        <x:v>Kịch bản tải phản ánh đọc số dư và chuyển tiền</x:v>
      </x:c>
      <x:c r="D149" s="158" t="str">
        <x:v>Chưa đánh giá</x:v>
      </x:c>
      <x:c r="E149" s="158" t="str"/>
      <x:c r="F149" s="158" t="str"/>
      <x:c r="G149" s="158" t="str">
        <x:v>Có</x:v>
      </x:c>
    </x:row>
    <x:row r="150" ht="40" customHeight="1">
      <x:c r="A150" s="158" t="n">
        <x:v>25</x:v>
      </x:c>
      <x:c r="B150" s="158" t="str">
        <x:v>Kiểm thử tải và khả năng quan sát</x:v>
      </x:c>
      <x:c r="C150" s="158" t="str">
        <x:v>Báo cáo có p50, p95, p99 và throughput</x:v>
      </x:c>
      <x:c r="D150" s="158" t="str">
        <x:v>Chưa đánh giá</x:v>
      </x:c>
      <x:c r="E150" s="158" t="str"/>
      <x:c r="F150" s="158" t="str"/>
      <x:c r="G150" s="158" t="str">
        <x:v>Có</x:v>
      </x:c>
    </x:row>
    <x:row r="151" ht="40" customHeight="1">
      <x:c r="A151" s="158" t="n">
        <x:v>25</x:v>
      </x:c>
      <x:c r="B151" s="158" t="str">
        <x:v>Kiểm thử tải và khả năng quan sát</x:v>
      </x:c>
      <x:c r="C151" s="158" t="str">
        <x:v>Theo dõi CPU, memory, database pool và Kafka lag</x:v>
      </x:c>
      <x:c r="D151" s="158" t="str">
        <x:v>Chưa đánh giá</x:v>
      </x:c>
      <x:c r="E151" s="158" t="str"/>
      <x:c r="F151" s="158" t="str"/>
      <x:c r="G151" s="158" t="str">
        <x:v>Có</x:v>
      </x:c>
    </x:row>
    <x:row r="152" ht="40" customHeight="1">
      <x:c r="A152" s="158" t="n">
        <x:v>25</x:v>
      </x:c>
      <x:c r="B152" s="158" t="str">
        <x:v>Kiểm thử tải và khả năng quan sát</x:v>
      </x:c>
      <x:c r="C152" s="158" t="str">
        <x:v>Tính đúng đắn được kiểm tra sau bài tải</x:v>
      </x:c>
      <x:c r="D152" s="158" t="str">
        <x:v>Chưa đánh giá</x:v>
      </x:c>
      <x:c r="E152" s="158" t="str"/>
      <x:c r="F152" s="158" t="str"/>
      <x:c r="G152" s="158" t="str">
        <x:v>Có</x:v>
      </x:c>
    </x:row>
    <x:row r="153" ht="40" customHeight="1">
      <x:c r="A153" s="158" t="n">
        <x:v>25</x:v>
      </x:c>
      <x:c r="B153" s="158" t="str">
        <x:v>Kiểm thử tải và khả năng quan sát</x:v>
      </x:c>
      <x:c r="C153" s="158" t="str">
        <x:v>Có ít nhất một vòng đo–tối ưu–đo lại</x:v>
      </x:c>
      <x:c r="D153" s="158" t="str">
        <x:v>Chưa đánh giá</x:v>
      </x:c>
      <x:c r="E153" s="158" t="str"/>
      <x:c r="F153" s="158" t="str"/>
      <x:c r="G153" s="158" t="str">
        <x:v>Có</x:v>
      </x:c>
    </x:row>
    <x:row r="154" ht="40" customHeight="1">
      <x:c r="A154" s="158" t="n">
        <x:v>25</x:v>
      </x:c>
      <x:c r="B154" s="158" t="str">
        <x:v>Kiểm thử tải và khả năng quan sát</x:v>
      </x:c>
      <x:c r="C154" s="158" t="str">
        <x:v>Giới hạn hệ thống được ghi rõ, không che giấu</x:v>
      </x:c>
      <x:c r="D154" s="158" t="str">
        <x:v>Chưa đánh giá</x:v>
      </x:c>
      <x:c r="E154" s="158" t="str"/>
      <x:c r="F154" s="158" t="str"/>
      <x:c r="G154" s="158" t="str">
        <x:v>Có</x:v>
      </x:c>
    </x:row>
    <x:row r="155" ht="40" customHeight="1">
      <x:c r="A155" s="158" t="n">
        <x:v>26</x:v>
      </x:c>
      <x:c r="B155" s="158" t="str">
        <x:v>Triển khai, tài liệu và trình diễn dự án 1</x:v>
      </x:c>
      <x:c r="C155" s="158" t="str">
        <x:v>Ứng dụng có healthcheck và cấu hình môi trường</x:v>
      </x:c>
      <x:c r="D155" s="158" t="str">
        <x:v>Chưa đánh giá</x:v>
      </x:c>
      <x:c r="E155" s="158" t="str"/>
      <x:c r="F155" s="158" t="str"/>
      <x:c r="G155" s="158" t="str">
        <x:v>Có</x:v>
      </x:c>
    </x:row>
    <x:row r="156" ht="40" customHeight="1">
      <x:c r="A156" s="158" t="n">
        <x:v>26</x:v>
      </x:c>
      <x:c r="B156" s="158" t="str">
        <x:v>Triển khai, tài liệu và trình diễn dự án 1</x:v>
      </x:c>
      <x:c r="C156" s="158" t="str">
        <x:v>Có giới hạn chi phí hoặc cảnh báo ngân sách</x:v>
      </x:c>
      <x:c r="D156" s="158" t="str">
        <x:v>Chưa đánh giá</x:v>
      </x:c>
      <x:c r="E156" s="158" t="str"/>
      <x:c r="F156" s="158" t="str"/>
      <x:c r="G156" s="158" t="str">
        <x:v>Có</x:v>
      </x:c>
    </x:row>
    <x:row r="157" ht="40" customHeight="1">
      <x:c r="A157" s="158" t="n">
        <x:v>26</x:v>
      </x:c>
      <x:c r="B157" s="158" t="str">
        <x:v>Triển khai, tài liệu và trình diễn dự án 1</x:v>
      </x:c>
      <x:c r="C157" s="158" t="str">
        <x:v>Có quy trình triển khai và rollback</x:v>
      </x:c>
      <x:c r="D157" s="158" t="str">
        <x:v>Chưa đánh giá</x:v>
      </x:c>
      <x:c r="E157" s="158" t="str"/>
      <x:c r="F157" s="158" t="str"/>
      <x:c r="G157" s="158" t="str">
        <x:v>Có</x:v>
      </x:c>
    </x:row>
    <x:row r="158" ht="40" customHeight="1">
      <x:c r="A158" s="158" t="n">
        <x:v>26</x:v>
      </x:c>
      <x:c r="B158" s="158" t="str">
        <x:v>Triển khai, tài liệu và trình diễn dự án 1</x:v>
      </x:c>
      <x:c r="C158" s="158" t="str">
        <x:v>README tiếng Anh hướng dẫn chạy và kiến trúc</x:v>
      </x:c>
      <x:c r="D158" s="158" t="str">
        <x:v>Chưa đánh giá</x:v>
      </x:c>
      <x:c r="E158" s="158" t="str"/>
      <x:c r="F158" s="158" t="str"/>
      <x:c r="G158" s="158" t="str">
        <x:v>Có</x:v>
      </x:c>
    </x:row>
    <x:row r="159" ht="40" customHeight="1">
      <x:c r="A159" s="158" t="n">
        <x:v>26</x:v>
      </x:c>
      <x:c r="B159" s="158" t="str">
        <x:v>Triển khai, tài liệu và trình diễn dự án 1</x:v>
      </x:c>
      <x:c r="C159" s="158" t="str">
        <x:v>Demo thể hiện một luồng thành công và một luồng lỗi</x:v>
      </x:c>
      <x:c r="D159" s="158" t="str">
        <x:v>Chưa đánh giá</x:v>
      </x:c>
      <x:c r="E159" s="158" t="str"/>
      <x:c r="F159" s="158" t="str"/>
      <x:c r="G159" s="158" t="str">
        <x:v>Có</x:v>
      </x:c>
    </x:row>
    <x:row r="160" ht="40" customHeight="1">
      <x:c r="A160" s="158" t="n">
        <x:v>26</x:v>
      </x:c>
      <x:c r="B160" s="158" t="str">
        <x:v>Triển khai, tài liệu và trình diễn dự án 1</x:v>
      </x:c>
      <x:c r="C160" s="158" t="str">
        <x:v>Release v1.0 có tag và danh sách giới hạn</x:v>
      </x:c>
      <x:c r="D160" s="158" t="str">
        <x:v>Chưa đánh giá</x:v>
      </x:c>
      <x:c r="E160" s="158" t="str"/>
      <x:c r="F160" s="158" t="str"/>
      <x:c r="G160" s="158" t="str">
        <x:v>Có</x:v>
      </x:c>
    </x:row>
    <x:row r="161" ht="40" customHeight="1">
      <x:c r="A161" s="158" t="n">
        <x:v>27</x:v>
      </x:c>
      <x:c r="B161" s="158" t="str">
        <x:v>Nghiệp vụ danh mục và dữ liệu thị trường</x:v>
      </x:c>
      <x:c r="C161" s="158" t="str">
        <x:v>Phân biệt được quote, trade và position</x:v>
      </x:c>
      <x:c r="D161" s="158" t="str">
        <x:v>Chưa đánh giá</x:v>
      </x:c>
      <x:c r="E161" s="158" t="str"/>
      <x:c r="F161" s="158" t="str"/>
      <x:c r="G161" s="158" t="str">
        <x:v>Có</x:v>
      </x:c>
    </x:row>
    <x:row r="162" ht="40" customHeight="1">
      <x:c r="A162" s="158" t="n">
        <x:v>27</x:v>
      </x:c>
      <x:c r="B162" s="158" t="str">
        <x:v>Nghiệp vụ danh mục và dữ liệu thị trường</x:v>
      </x:c>
      <x:c r="C162" s="158" t="str">
        <x:v>Định nghĩa rõ realized và unrealized P&amp;L</x:v>
      </x:c>
      <x:c r="D162" s="158" t="str">
        <x:v>Chưa đánh giá</x:v>
      </x:c>
      <x:c r="E162" s="158" t="str"/>
      <x:c r="F162" s="158" t="str"/>
      <x:c r="G162" s="158" t="str">
        <x:v>Có</x:v>
      </x:c>
    </x:row>
    <x:row r="163" ht="40" customHeight="1">
      <x:c r="A163" s="158" t="n">
        <x:v>27</x:v>
      </x:c>
      <x:c r="B163" s="158" t="str">
        <x:v>Nghiệp vụ danh mục và dữ liệu thị trường</x:v>
      </x:c>
      <x:c r="C163" s="158" t="str">
        <x:v>Quy định đơn vị tiền tệ và độ chính xác</x:v>
      </x:c>
      <x:c r="D163" s="158" t="str">
        <x:v>Chưa đánh giá</x:v>
      </x:c>
      <x:c r="E163" s="158" t="str"/>
      <x:c r="F163" s="158" t="str"/>
      <x:c r="G163" s="158" t="str">
        <x:v>Có</x:v>
      </x:c>
    </x:row>
    <x:row r="164" ht="40" customHeight="1">
      <x:c r="A164" s="158" t="n">
        <x:v>27</x:v>
      </x:c>
      <x:c r="B164" s="158" t="str">
        <x:v>Nghiệp vụ danh mục và dữ liệu thị trường</x:v>
      </x:c>
      <x:c r="C164" s="158" t="str">
        <x:v>Có xử lý giá thiếu, cũ và đến sai thứ tự</x:v>
      </x:c>
      <x:c r="D164" s="158" t="str">
        <x:v>Chưa đánh giá</x:v>
      </x:c>
      <x:c r="E164" s="158" t="str"/>
      <x:c r="F164" s="158" t="str"/>
      <x:c r="G164" s="158" t="str">
        <x:v>Có</x:v>
      </x:c>
    </x:row>
    <x:row r="165" ht="40" customHeight="1">
      <x:c r="A165" s="158" t="n">
        <x:v>27</x:v>
      </x:c>
      <x:c r="B165" s="158" t="str">
        <x:v>Nghiệp vụ danh mục và dữ liệu thị trường</x:v>
      </x:c>
      <x:c r="C165" s="158" t="str">
        <x:v>Corporate action được đánh dấu ngoài phạm vi hoặc mô tả rõ</x:v>
      </x:c>
      <x:c r="D165" s="158" t="str">
        <x:v>Chưa đánh giá</x:v>
      </x:c>
      <x:c r="E165" s="158" t="str"/>
      <x:c r="F165" s="158" t="str"/>
      <x:c r="G165" s="158" t="str">
        <x:v>Có</x:v>
      </x:c>
    </x:row>
    <x:row r="166" ht="40" customHeight="1">
      <x:c r="A166" s="158" t="n">
        <x:v>27</x:v>
      </x:c>
      <x:c r="B166" s="158" t="str">
        <x:v>Nghiệp vụ danh mục và dữ liệu thị trường</x:v>
      </x:c>
      <x:c r="C166" s="158" t="str">
        <x:v>Có ít nhất năm kịch bản tính tay để đối chiếu</x:v>
      </x:c>
      <x:c r="D166" s="158" t="str">
        <x:v>Chưa đánh giá</x:v>
      </x:c>
      <x:c r="E166" s="158" t="str"/>
      <x:c r="F166" s="158" t="str"/>
      <x:c r="G166" s="158" t="str">
        <x:v>Có</x:v>
      </x:c>
    </x:row>
    <x:row r="167" ht="40" customHeight="1">
      <x:c r="A167" s="158" t="n">
        <x:v>28</x:v>
      </x:c>
      <x:c r="B167" s="158" t="str">
        <x:v>Kiến trúc tiếp nhận dữ liệu thị trường</x:v>
      </x:c>
      <x:c r="C167" s="158" t="str">
        <x:v>Event giá có symbol, price, currency, timestamp và sequence</x:v>
      </x:c>
      <x:c r="D167" s="158" t="str">
        <x:v>Chưa đánh giá</x:v>
      </x:c>
      <x:c r="E167" s="158" t="str"/>
      <x:c r="F167" s="158" t="str"/>
      <x:c r="G167" s="158" t="str">
        <x:v>Có</x:v>
      </x:c>
    </x:row>
    <x:row r="168" ht="40" customHeight="1">
      <x:c r="A168" s="158" t="n">
        <x:v>28</x:v>
      </x:c>
      <x:c r="B168" s="158" t="str">
        <x:v>Kiến trúc tiếp nhận dữ liệu thị trường</x:v>
      </x:c>
      <x:c r="C168" s="158" t="str">
        <x:v>Partition key duy trì thứ tự theo mã tài sản</x:v>
      </x:c>
      <x:c r="D168" s="158" t="str">
        <x:v>Chưa đánh giá</x:v>
      </x:c>
      <x:c r="E168" s="158" t="str"/>
      <x:c r="F168" s="158" t="str"/>
      <x:c r="G168" s="158" t="str">
        <x:v>Có</x:v>
      </x:c>
    </x:row>
    <x:row r="169" ht="40" customHeight="1">
      <x:c r="A169" s="158" t="n">
        <x:v>28</x:v>
      </x:c>
      <x:c r="B169" s="158" t="str">
        <x:v>Kiến trúc tiếp nhận dữ liệu thị trường</x:v>
      </x:c>
      <x:c r="C169" s="158" t="str">
        <x:v>Hệ thống phân biệt event time và processing time</x:v>
      </x:c>
      <x:c r="D169" s="158" t="str">
        <x:v>Chưa đánh giá</x:v>
      </x:c>
      <x:c r="E169" s="158" t="str"/>
      <x:c r="F169" s="158" t="str"/>
      <x:c r="G169" s="158" t="str">
        <x:v>Có</x:v>
      </x:c>
    </x:row>
    <x:row r="170" ht="40" customHeight="1">
      <x:c r="A170" s="158" t="n">
        <x:v>28</x:v>
      </x:c>
      <x:c r="B170" s="158" t="str">
        <x:v>Kiến trúc tiếp nhận dữ liệu thị trường</x:v>
      </x:c>
      <x:c r="C170" s="158" t="str">
        <x:v>Có quy tắc bỏ qua hoặc đánh dấu giá quá cũ</x:v>
      </x:c>
      <x:c r="D170" s="158" t="str">
        <x:v>Chưa đánh giá</x:v>
      </x:c>
      <x:c r="E170" s="158" t="str"/>
      <x:c r="F170" s="158" t="str"/>
      <x:c r="G170" s="158" t="str">
        <x:v>Có</x:v>
      </x:c>
    </x:row>
    <x:row r="171" ht="40" customHeight="1">
      <x:c r="A171" s="158" t="n">
        <x:v>28</x:v>
      </x:c>
      <x:c r="B171" s="158" t="str">
        <x:v>Kiến trúc tiếp nhận dữ liệu thị trường</x:v>
      </x:c>
      <x:c r="C171" s="158" t="str">
        <x:v>Simulator cấu hình được tốc độ và số mã</x:v>
      </x:c>
      <x:c r="D171" s="158" t="str">
        <x:v>Chưa đánh giá</x:v>
      </x:c>
      <x:c r="E171" s="158" t="str"/>
      <x:c r="F171" s="158" t="str"/>
      <x:c r="G171" s="158" t="str">
        <x:v>Có</x:v>
      </x:c>
    </x:row>
    <x:row r="172" ht="40" customHeight="1">
      <x:c r="A172" s="158" t="n">
        <x:v>28</x:v>
      </x:c>
      <x:c r="B172" s="158" t="str">
        <x:v>Kiến trúc tiếp nhận dữ liệu thị trường</x:v>
      </x:c>
      <x:c r="C172" s="158" t="str">
        <x:v>Có kế hoạch chịu backpressure</x:v>
      </x:c>
      <x:c r="D172" s="158" t="str">
        <x:v>Chưa đánh giá</x:v>
      </x:c>
      <x:c r="E172" s="158" t="str"/>
      <x:c r="F172" s="158" t="str"/>
      <x:c r="G172" s="158" t="str">
        <x:v>Có</x:v>
      </x:c>
    </x:row>
    <x:row r="173" ht="40" customHeight="1">
      <x:c r="A173" s="158" t="n">
        <x:v>29</x:v>
      </x:c>
      <x:c r="B173" s="158" t="str">
        <x:v>Kafka và xử lý luồng giá</x:v>
      </x:c>
      <x:c r="C173" s="158" t="str">
        <x:v>Đạt tải mục tiêu với số liệu chứng minh</x:v>
      </x:c>
      <x:c r="D173" s="158" t="str">
        <x:v>Chưa đánh giá</x:v>
      </x:c>
      <x:c r="E173" s="158" t="str"/>
      <x:c r="F173" s="158" t="str"/>
      <x:c r="G173" s="158" t="str">
        <x:v>Có</x:v>
      </x:c>
    </x:row>
    <x:row r="174" ht="40" customHeight="1">
      <x:c r="A174" s="158" t="n">
        <x:v>29</x:v>
      </x:c>
      <x:c r="B174" s="158" t="str">
        <x:v>Kafka và xử lý luồng giá</x:v>
      </x:c>
      <x:c r="C174" s="158" t="str">
        <x:v>Không đảo thứ tự giá của cùng symbol trong phạm vi cam kết</x:v>
      </x:c>
      <x:c r="D174" s="158" t="str">
        <x:v>Chưa đánh giá</x:v>
      </x:c>
      <x:c r="E174" s="158" t="str"/>
      <x:c r="F174" s="158" t="str"/>
      <x:c r="G174" s="158" t="str">
        <x:v>Có</x:v>
      </x:c>
    </x:row>
    <x:row r="175" ht="40" customHeight="1">
      <x:c r="A175" s="158" t="n">
        <x:v>29</x:v>
      </x:c>
      <x:c r="B175" s="158" t="str">
        <x:v>Kafka và xử lý luồng giá</x:v>
      </x:c>
      <x:c r="C175" s="158" t="str">
        <x:v>Event trùng không làm sai giá cuối</x:v>
      </x:c>
      <x:c r="D175" s="158" t="str">
        <x:v>Chưa đánh giá</x:v>
      </x:c>
      <x:c r="E175" s="158" t="str"/>
      <x:c r="F175" s="158" t="str"/>
      <x:c r="G175" s="158" t="str">
        <x:v>Có</x:v>
      </x:c>
    </x:row>
    <x:row r="176" ht="40" customHeight="1">
      <x:c r="A176" s="158" t="n">
        <x:v>29</x:v>
      </x:c>
      <x:c r="B176" s="158" t="str">
        <x:v>Kafka và xử lý luồng giá</x:v>
      </x:c>
      <x:c r="C176" s="158" t="str">
        <x:v>Consumer scale ngang và được đo lag</x:v>
      </x:c>
      <x:c r="D176" s="158" t="str">
        <x:v>Chưa đánh giá</x:v>
      </x:c>
      <x:c r="E176" s="158" t="str"/>
      <x:c r="F176" s="158" t="str"/>
      <x:c r="G176" s="158" t="str">
        <x:v>Có</x:v>
      </x:c>
    </x:row>
    <x:row r="177" ht="40" customHeight="1">
      <x:c r="A177" s="158" t="n">
        <x:v>29</x:v>
      </x:c>
      <x:c r="B177" s="158" t="str">
        <x:v>Kafka và xử lý luồng giá</x:v>
      </x:c>
      <x:c r="C177" s="158" t="str">
        <x:v>Có công cụ phát lại theo khoảng thời gian hoặc offset</x:v>
      </x:c>
      <x:c r="D177" s="158" t="str">
        <x:v>Chưa đánh giá</x:v>
      </x:c>
      <x:c r="E177" s="158" t="str"/>
      <x:c r="F177" s="158" t="str"/>
      <x:c r="G177" s="158" t="str">
        <x:v>Có</x:v>
      </x:c>
    </x:row>
    <x:row r="178" ht="40" customHeight="1">
      <x:c r="A178" s="158" t="n">
        <x:v>29</x:v>
      </x:c>
      <x:c r="B178" s="158" t="str">
        <x:v>Kafka và xử lý luồng giá</x:v>
      </x:c>
      <x:c r="C178" s="158" t="str">
        <x:v>Schema version được lưu trong event</x:v>
      </x:c>
      <x:c r="D178" s="158" t="str">
        <x:v>Chưa đánh giá</x:v>
      </x:c>
      <x:c r="E178" s="158" t="str"/>
      <x:c r="F178" s="158" t="str"/>
      <x:c r="G178" s="158" t="str">
        <x:v>Có</x:v>
      </x:c>
    </x:row>
    <x:row r="179" ht="40" customHeight="1">
      <x:c r="A179" s="158" t="n">
        <x:v>30</x:v>
      </x:c>
      <x:c r="B179" s="158" t="str">
        <x:v>Redis và WebSocket gần thời gian thực</x:v>
      </x:c>
      <x:c r="C179" s="158" t="str">
        <x:v>REST trả giá cuối cùng kèm thời điểm dữ liệu</x:v>
      </x:c>
      <x:c r="D179" s="158" t="str">
        <x:v>Chưa đánh giá</x:v>
      </x:c>
      <x:c r="E179" s="158" t="str"/>
      <x:c r="F179" s="158" t="str"/>
      <x:c r="G179" s="158" t="str">
        <x:v>Có</x:v>
      </x:c>
    </x:row>
    <x:row r="180" ht="40" customHeight="1">
      <x:c r="A180" s="158" t="n">
        <x:v>30</x:v>
      </x:c>
      <x:c r="B180" s="158" t="str">
        <x:v>Redis và WebSocket gần thời gian thực</x:v>
      </x:c>
      <x:c r="C180" s="158" t="str">
        <x:v>WebSocket chỉ gửi các symbol đã đăng ký</x:v>
      </x:c>
      <x:c r="D180" s="158" t="str">
        <x:v>Chưa đánh giá</x:v>
      </x:c>
      <x:c r="E180" s="158" t="str"/>
      <x:c r="F180" s="158" t="str"/>
      <x:c r="G180" s="158" t="str">
        <x:v>Có</x:v>
      </x:c>
    </x:row>
    <x:row r="181" ht="40" customHeight="1">
      <x:c r="A181" s="158" t="n">
        <x:v>30</x:v>
      </x:c>
      <x:c r="B181" s="158" t="str">
        <x:v>Redis và WebSocket gần thời gian thực</x:v>
      </x:c>
      <x:c r="C181" s="158" t="str">
        <x:v>Kết nối chậm không chặn toàn bộ hệ thống</x:v>
      </x:c>
      <x:c r="D181" s="158" t="str">
        <x:v>Chưa đánh giá</x:v>
      </x:c>
      <x:c r="E181" s="158" t="str"/>
      <x:c r="F181" s="158" t="str"/>
      <x:c r="G181" s="158" t="str">
        <x:v>Có</x:v>
      </x:c>
    </x:row>
    <x:row r="182" ht="40" customHeight="1">
      <x:c r="A182" s="158" t="n">
        <x:v>30</x:v>
      </x:c>
      <x:c r="B182" s="158" t="str">
        <x:v>Redis và WebSocket gần thời gian thực</x:v>
      </x:c>
      <x:c r="C182" s="158" t="str">
        <x:v>Cache được khôi phục từ Kafka khi khởi động lại</x:v>
      </x:c>
      <x:c r="D182" s="158" t="str">
        <x:v>Chưa đánh giá</x:v>
      </x:c>
      <x:c r="E182" s="158" t="str"/>
      <x:c r="F182" s="158" t="str"/>
      <x:c r="G182" s="158" t="str">
        <x:v>Có</x:v>
      </x:c>
    </x:row>
    <x:row r="183" ht="40" customHeight="1">
      <x:c r="A183" s="158" t="n">
        <x:v>30</x:v>
      </x:c>
      <x:c r="B183" s="158" t="str">
        <x:v>Redis và WebSocket gần thời gian thực</x:v>
      </x:c>
      <x:c r="C183" s="158" t="str">
        <x:v>Có heartbeat và dọn session chết</x:v>
      </x:c>
      <x:c r="D183" s="158" t="str">
        <x:v>Chưa đánh giá</x:v>
      </x:c>
      <x:c r="E183" s="158" t="str"/>
      <x:c r="F183" s="158" t="str"/>
      <x:c r="G183" s="158" t="str">
        <x:v>Có</x:v>
      </x:c>
    </x:row>
    <x:row r="184" ht="40" customHeight="1">
      <x:c r="A184" s="158" t="n">
        <x:v>30</x:v>
      </x:c>
      <x:c r="B184" s="158" t="str">
        <x:v>Redis và WebSocket gần thời gian thực</x:v>
      </x:c>
      <x:c r="C184" s="158" t="str">
        <x:v>Độ trễ end-to-end được đo và ghi lại</x:v>
      </x:c>
      <x:c r="D184" s="158" t="str">
        <x:v>Chưa đánh giá</x:v>
      </x:c>
      <x:c r="E184" s="158" t="str"/>
      <x:c r="F184" s="158" t="str"/>
      <x:c r="G184" s="158" t="str">
        <x:v>Có</x:v>
      </x:c>
    </x:row>
    <x:row r="185" ht="40" customHeight="1">
      <x:c r="A185" s="158" t="n">
        <x:v>31</x:v>
      </x:c>
      <x:c r="B185" s="158" t="str">
        <x:v>Danh mục, vị thế và lãi/lỗ</x:v>
      </x:c>
      <x:c r="C185" s="158" t="str">
        <x:v>Vị thế được suy ra từ giao dịch thay vì sửa tùy ý</x:v>
      </x:c>
      <x:c r="D185" s="158" t="str">
        <x:v>Chưa đánh giá</x:v>
      </x:c>
      <x:c r="E185" s="158" t="str"/>
      <x:c r="F185" s="158" t="str"/>
      <x:c r="G185" s="158" t="str">
        <x:v>Có</x:v>
      </x:c>
    </x:row>
    <x:row r="186" ht="40" customHeight="1">
      <x:c r="A186" s="158" t="n">
        <x:v>31</x:v>
      </x:c>
      <x:c r="B186" s="158" t="str">
        <x:v>Danh mục, vị thế và lãi/lỗ</x:v>
      </x:c>
      <x:c r="C186" s="158" t="str">
        <x:v>Weighted average cost khớp năm kịch bản tính tay</x:v>
      </x:c>
      <x:c r="D186" s="158" t="str">
        <x:v>Chưa đánh giá</x:v>
      </x:c>
      <x:c r="E186" s="158" t="str"/>
      <x:c r="F186" s="158" t="str"/>
      <x:c r="G186" s="158" t="str">
        <x:v>Có</x:v>
      </x:c>
    </x:row>
    <x:row r="187" ht="40" customHeight="1">
      <x:c r="A187" s="158" t="n">
        <x:v>31</x:v>
      </x:c>
      <x:c r="B187" s="158" t="str">
        <x:v>Danh mục, vị thế và lãi/lỗ</x:v>
      </x:c>
      <x:c r="C187" s="158" t="str">
        <x:v>Realized và unrealized P&amp;L không bị trộn</x:v>
      </x:c>
      <x:c r="D187" s="158" t="str">
        <x:v>Chưa đánh giá</x:v>
      </x:c>
      <x:c r="E187" s="158" t="str"/>
      <x:c r="F187" s="158" t="str"/>
      <x:c r="G187" s="158" t="str">
        <x:v>Có</x:v>
      </x:c>
    </x:row>
    <x:row r="188" ht="40" customHeight="1">
      <x:c r="A188" s="158" t="n">
        <x:v>31</x:v>
      </x:c>
      <x:c r="B188" s="158" t="str">
        <x:v>Danh mục, vị thế và lãi/lỗ</x:v>
      </x:c>
      <x:c r="C188" s="158" t="str">
        <x:v>Giá thiếu hoặc cũ được thể hiện rõ</x:v>
      </x:c>
      <x:c r="D188" s="158" t="str">
        <x:v>Chưa đánh giá</x:v>
      </x:c>
      <x:c r="E188" s="158" t="str"/>
      <x:c r="F188" s="158" t="str"/>
      <x:c r="G188" s="158" t="str">
        <x:v>Có</x:v>
      </x:c>
    </x:row>
    <x:row r="189" ht="40" customHeight="1">
      <x:c r="A189" s="158" t="n">
        <x:v>31</x:v>
      </x:c>
      <x:c r="B189" s="158" t="str">
        <x:v>Danh mục, vị thế và lãi/lỗ</x:v>
      </x:c>
      <x:c r="C189" s="158" t="str">
        <x:v>Làm tròn tiền theo quy tắc thống nhất</x:v>
      </x:c>
      <x:c r="D189" s="158" t="str">
        <x:v>Chưa đánh giá</x:v>
      </x:c>
      <x:c r="E189" s="158" t="str"/>
      <x:c r="F189" s="158" t="str"/>
      <x:c r="G189" s="158" t="str">
        <x:v>Có</x:v>
      </x:c>
    </x:row>
    <x:row r="190" ht="40" customHeight="1">
      <x:c r="A190" s="158" t="n">
        <x:v>31</x:v>
      </x:c>
      <x:c r="B190" s="158" t="str">
        <x:v>Danh mục, vị thế và lãi/lỗ</x:v>
      </x:c>
      <x:c r="C190" s="158" t="str">
        <x:v>Có báo cáo đối chiếu dữ liệu đầu vào–đầu ra</x:v>
      </x:c>
      <x:c r="D190" s="158" t="str">
        <x:v>Chưa đánh giá</x:v>
      </x:c>
      <x:c r="E190" s="158" t="str"/>
      <x:c r="F190" s="158" t="str"/>
      <x:c r="G190" s="158" t="str">
        <x:v>Có</x:v>
      </x:c>
    </x:row>
    <x:row r="191" ht="40" customHeight="1">
      <x:c r="A191" s="158" t="n">
        <x:v>32</x:v>
      </x:c>
      <x:c r="B191" s="158" t="str">
        <x:v>Chịu lỗi, kiểm thử tải và triển khai dự án 2</x:v>
      </x:c>
      <x:c r="C191" s="158" t="str">
        <x:v>Dừng consumer rồi khởi động lại không làm sai trạng thái cuối</x:v>
      </x:c>
      <x:c r="D191" s="158" t="str">
        <x:v>Chưa đánh giá</x:v>
      </x:c>
      <x:c r="E191" s="158" t="str"/>
      <x:c r="F191" s="158" t="str"/>
      <x:c r="G191" s="158" t="str">
        <x:v>Có</x:v>
      </x:c>
    </x:row>
    <x:row r="192" ht="40" customHeight="1">
      <x:c r="A192" s="158" t="n">
        <x:v>32</x:v>
      </x:c>
      <x:c r="B192" s="158" t="str">
        <x:v>Chịu lỗi, kiểm thử tải và triển khai dự án 2</x:v>
      </x:c>
      <x:c r="C192" s="158" t="str">
        <x:v>Redis lỗi không làm mất nguồn dữ liệu chuẩn</x:v>
      </x:c>
      <x:c r="D192" s="158" t="str">
        <x:v>Chưa đánh giá</x:v>
      </x:c>
      <x:c r="E192" s="158" t="str"/>
      <x:c r="F192" s="158" t="str"/>
      <x:c r="G192" s="158" t="str">
        <x:v>Có</x:v>
      </x:c>
    </x:row>
    <x:row r="193" ht="40" customHeight="1">
      <x:c r="A193" s="158" t="n">
        <x:v>32</x:v>
      </x:c>
      <x:c r="B193" s="158" t="str">
        <x:v>Chịu lỗi, kiểm thử tải và triển khai dự án 2</x:v>
      </x:c>
      <x:c r="C193" s="158" t="str">
        <x:v>WebSocket tự kết nối lại theo chiến lược có giới hạn</x:v>
      </x:c>
      <x:c r="D193" s="158" t="str">
        <x:v>Chưa đánh giá</x:v>
      </x:c>
      <x:c r="E193" s="158" t="str"/>
      <x:c r="F193" s="158" t="str"/>
      <x:c r="G193" s="158" t="str">
        <x:v>Có</x:v>
      </x:c>
    </x:row>
    <x:row r="194" ht="40" customHeight="1">
      <x:c r="A194" s="158" t="n">
        <x:v>32</x:v>
      </x:c>
      <x:c r="B194" s="158" t="str">
        <x:v>Chịu lỗi, kiểm thử tải và triển khai dự án 2</x:v>
      </x:c>
      <x:c r="C194" s="158" t="str">
        <x:v>Có dashboard throughput, lag, error và latency</x:v>
      </x:c>
      <x:c r="D194" s="158" t="str">
        <x:v>Chưa đánh giá</x:v>
      </x:c>
      <x:c r="E194" s="158" t="str"/>
      <x:c r="F194" s="158" t="str"/>
      <x:c r="G194" s="158" t="str">
        <x:v>Có</x:v>
      </x:c>
    </x:row>
    <x:row r="195" ht="40" customHeight="1">
      <x:c r="A195" s="158" t="n">
        <x:v>32</x:v>
      </x:c>
      <x:c r="B195" s="158" t="str">
        <x:v>Chịu lỗi, kiểm thử tải và triển khai dự án 2</x:v>
      </x:c>
      <x:c r="C195" s="158" t="str">
        <x:v>README tiếng Anh mô tả kiến trúc và giới hạn</x:v>
      </x:c>
      <x:c r="D195" s="158" t="str">
        <x:v>Chưa đánh giá</x:v>
      </x:c>
      <x:c r="E195" s="158" t="str"/>
      <x:c r="F195" s="158" t="str"/>
      <x:c r="G195" s="158" t="str">
        <x:v>Có</x:v>
      </x:c>
    </x:row>
    <x:row r="196" ht="40" customHeight="1">
      <x:c r="A196" s="158" t="n">
        <x:v>32</x:v>
      </x:c>
      <x:c r="B196" s="158" t="str">
        <x:v>Chịu lỗi, kiểm thử tải và triển khai dự án 2</x:v>
      </x:c>
      <x:c r="C196" s="158" t="str">
        <x:v>Demo 15 phút thể hiện tải, lỗi và phục hồi</x:v>
      </x:c>
      <x:c r="D196" s="158" t="str">
        <x:v>Chưa đánh giá</x:v>
      </x:c>
      <x:c r="E196" s="158" t="str"/>
      <x:c r="F196" s="158" t="str"/>
      <x:c r="G196" s="158" t="str">
        <x:v>Có</x:v>
      </x:c>
    </x:row>
    <x:row r="197" ht="40" customHeight="1">
      <x:c r="A197" s="158" t="n">
        <x:v>33</x:v>
      </x:c>
      <x:c r="B197" s="158" t="str">
        <x:v>Thiết kế hệ thống ngân hàng</x:v>
      </x:c>
      <x:c r="C197" s="158" t="str">
        <x:v>Mỗi bài bắt đầu bằng yêu cầu chức năng và phi chức năng</x:v>
      </x:c>
      <x:c r="D197" s="158" t="str">
        <x:v>Chưa đánh giá</x:v>
      </x:c>
      <x:c r="E197" s="158" t="str"/>
      <x:c r="F197" s="158" t="str"/>
      <x:c r="G197" s="158" t="str">
        <x:v>Có</x:v>
      </x:c>
    </x:row>
    <x:row r="198" ht="40" customHeight="1">
      <x:c r="A198" s="158" t="n">
        <x:v>33</x:v>
      </x:c>
      <x:c r="B198" s="158" t="str">
        <x:v>Thiết kế hệ thống ngân hàng</x:v>
      </x:c>
      <x:c r="C198" s="158" t="str">
        <x:v>Có ước lượng tải và dung lượng ở mức hợp lý</x:v>
      </x:c>
      <x:c r="D198" s="158" t="str">
        <x:v>Chưa đánh giá</x:v>
      </x:c>
      <x:c r="E198" s="158" t="str"/>
      <x:c r="F198" s="158" t="str"/>
      <x:c r="G198" s="158" t="str">
        <x:v>Có</x:v>
      </x:c>
    </x:row>
    <x:row r="199" ht="40" customHeight="1">
      <x:c r="A199" s="158" t="n">
        <x:v>33</x:v>
      </x:c>
      <x:c r="B199" s="158" t="str">
        <x:v>Thiết kế hệ thống ngân hàng</x:v>
      </x:c>
      <x:c r="C199" s="158" t="str">
        <x:v>Lựa chọn consistency được giải thích</x:v>
      </x:c>
      <x:c r="D199" s="158" t="str">
        <x:v>Chưa đánh giá</x:v>
      </x:c>
      <x:c r="E199" s="158" t="str"/>
      <x:c r="F199" s="158" t="str"/>
      <x:c r="G199" s="158" t="str">
        <x:v>Có</x:v>
      </x:c>
    </x:row>
    <x:row r="200" ht="40" customHeight="1">
      <x:c r="A200" s="158" t="n">
        <x:v>33</x:v>
      </x:c>
      <x:c r="B200" s="158" t="str">
        <x:v>Thiết kế hệ thống ngân hàng</x:v>
      </x:c>
      <x:c r="C200" s="158" t="str">
        <x:v>Có xử lý idempotency, audit và failure recovery</x:v>
      </x:c>
      <x:c r="D200" s="158" t="str">
        <x:v>Chưa đánh giá</x:v>
      </x:c>
      <x:c r="E200" s="158" t="str"/>
      <x:c r="F200" s="158" t="str"/>
      <x:c r="G200" s="158" t="str">
        <x:v>Có</x:v>
      </x:c>
    </x:row>
    <x:row r="201" ht="40" customHeight="1">
      <x:c r="A201" s="158" t="n">
        <x:v>33</x:v>
      </x:c>
      <x:c r="B201" s="158" t="str">
        <x:v>Thiết kế hệ thống ngân hàng</x:v>
      </x:c>
      <x:c r="C201" s="158" t="str">
        <x:v>Trình bày mỗi bài trong tối đa 60 phút</x:v>
      </x:c>
      <x:c r="D201" s="158" t="str">
        <x:v>Chưa đánh giá</x:v>
      </x:c>
      <x:c r="E201" s="158" t="str"/>
      <x:c r="F201" s="158" t="str"/>
      <x:c r="G201" s="158" t="str">
        <x:v>Có</x:v>
      </x:c>
    </x:row>
    <x:row r="202" ht="40" customHeight="1">
      <x:c r="A202" s="158" t="n">
        <x:v>33</x:v>
      </x:c>
      <x:c r="B202" s="158" t="str">
        <x:v>Thiết kế hệ thống ngân hàng</x:v>
      </x:c>
      <x:c r="C202" s="158" t="str">
        <x:v>Ghi lại ít nhất ba điểm cần cải thiện sau mỗi bài</x:v>
      </x:c>
      <x:c r="D202" s="158" t="str">
        <x:v>Chưa đánh giá</x:v>
      </x:c>
      <x:c r="E202" s="158" t="str"/>
      <x:c r="F202" s="158" t="str"/>
      <x:c r="G202" s="158" t="str">
        <x:v>Có</x:v>
      </x:c>
    </x:row>
    <x:row r="203" ht="40" customHeight="1">
      <x:c r="A203" s="158" t="n">
        <x:v>34</x:v>
      </x:c>
      <x:c r="B203" s="158" t="str">
        <x:v>Thiết kế hệ thống phân tán</x:v>
      </x:c>
      <x:c r="C203" s="158" t="str">
        <x:v>Giải thích được partitioning và scaling strategy</x:v>
      </x:c>
      <x:c r="D203" s="158" t="str">
        <x:v>Chưa đánh giá</x:v>
      </x:c>
      <x:c r="E203" s="158" t="str"/>
      <x:c r="F203" s="158" t="str"/>
      <x:c r="G203" s="158" t="str">
        <x:v>Có</x:v>
      </x:c>
    </x:row>
    <x:row r="204" ht="40" customHeight="1">
      <x:c r="A204" s="158" t="n">
        <x:v>34</x:v>
      </x:c>
      <x:c r="B204" s="158" t="str">
        <x:v>Thiết kế hệ thống phân tán</x:v>
      </x:c>
      <x:c r="C204" s="158" t="str">
        <x:v>Nêu rõ failure mode và biện pháp phục hồi</x:v>
      </x:c>
      <x:c r="D204" s="158" t="str">
        <x:v>Chưa đánh giá</x:v>
      </x:c>
      <x:c r="E204" s="158" t="str"/>
      <x:c r="F204" s="158" t="str"/>
      <x:c r="G204" s="158" t="str">
        <x:v>Có</x:v>
      </x:c>
    </x:row>
    <x:row r="205" ht="40" customHeight="1">
      <x:c r="A205" s="158" t="n">
        <x:v>34</x:v>
      </x:c>
      <x:c r="B205" s="158" t="str">
        <x:v>Thiết kế hệ thống phân tán</x:v>
      </x:c>
      <x:c r="C205" s="158" t="str">
        <x:v>Không dùng công nghệ chỉ vì xu hướng</x:v>
      </x:c>
      <x:c r="D205" s="158" t="str">
        <x:v>Chưa đánh giá</x:v>
      </x:c>
      <x:c r="E205" s="158" t="str"/>
      <x:c r="F205" s="158" t="str"/>
      <x:c r="G205" s="158" t="str">
        <x:v>Có</x:v>
      </x:c>
    </x:row>
    <x:row r="206" ht="40" customHeight="1">
      <x:c r="A206" s="158" t="n">
        <x:v>34</x:v>
      </x:c>
      <x:c r="B206" s="158" t="str">
        <x:v>Thiết kế hệ thống phân tán</x:v>
      </x:c>
      <x:c r="C206" s="158" t="str">
        <x:v>Có metric và SLO cho từng hệ thống</x:v>
      </x:c>
      <x:c r="D206" s="158" t="str">
        <x:v>Chưa đánh giá</x:v>
      </x:c>
      <x:c r="E206" s="158" t="str"/>
      <x:c r="F206" s="158" t="str"/>
      <x:c r="G206" s="158" t="str">
        <x:v>Có</x:v>
      </x:c>
    </x:row>
    <x:row r="207" ht="40" customHeight="1">
      <x:c r="A207" s="158" t="n">
        <x:v>34</x:v>
      </x:c>
      <x:c r="B207" s="158" t="str">
        <x:v>Thiết kế hệ thống phân tán</x:v>
      </x:c>
      <x:c r="C207" s="158" t="str">
        <x:v>Phần hỏi–đáp được thực hiện bằng tiếng Anh</x:v>
      </x:c>
      <x:c r="D207" s="158" t="str">
        <x:v>Chưa đánh giá</x:v>
      </x:c>
      <x:c r="E207" s="158" t="str"/>
      <x:c r="F207" s="158" t="str"/>
      <x:c r="G207" s="158" t="str">
        <x:v>Có</x:v>
      </x:c>
    </x:row>
    <x:row r="208" ht="40" customHeight="1">
      <x:c r="A208" s="158" t="n">
        <x:v>34</x:v>
      </x:c>
      <x:c r="B208" s="158" t="str">
        <x:v>Thiết kế hệ thống phân tán</x:v>
      </x:c>
      <x:c r="C208" s="158" t="str">
        <x:v>Câu trả lời thể hiện trade-off thay vì đáp án tuyệt đối</x:v>
      </x:c>
      <x:c r="D208" s="158" t="str">
        <x:v>Chưa đánh giá</x:v>
      </x:c>
      <x:c r="E208" s="158" t="str"/>
      <x:c r="F208" s="158" t="str"/>
      <x:c r="G208" s="158" t="str">
        <x:v>Có</x:v>
      </x:c>
    </x:row>
    <x:row r="209" ht="40" customHeight="1">
      <x:c r="A209" s="158" t="n">
        <x:v>35</x:v>
      </x:c>
      <x:c r="B209" s="158" t="str">
        <x:v>Thuật toán, SQL và lập trình trực tiếp</x:v>
      </x:c>
      <x:c r="C209" s="158" t="str">
        <x:v>Ít nhất 10/12 bài thuật toán đạt trong 40 phút</x:v>
      </x:c>
      <x:c r="D209" s="158" t="str">
        <x:v>Chưa đánh giá</x:v>
      </x:c>
      <x:c r="E209" s="158" t="str"/>
      <x:c r="F209" s="158" t="str"/>
      <x:c r="G209" s="158" t="str">
        <x:v>Có</x:v>
      </x:c>
    </x:row>
    <x:row r="210" ht="40" customHeight="1">
      <x:c r="A210" s="158" t="n">
        <x:v>35</x:v>
      </x:c>
      <x:c r="B210" s="158" t="str">
        <x:v>Thuật toán, SQL và lập trình trực tiếp</x:v>
      </x:c>
      <x:c r="C210" s="158" t="str">
        <x:v>Giải thích được độ phức tạp thời gian và bộ nhớ</x:v>
      </x:c>
      <x:c r="D210" s="158" t="str">
        <x:v>Chưa đánh giá</x:v>
      </x:c>
      <x:c r="E210" s="158" t="str"/>
      <x:c r="F210" s="158" t="str"/>
      <x:c r="G210" s="158" t="str">
        <x:v>Có</x:v>
      </x:c>
    </x:row>
    <x:row r="211" ht="40" customHeight="1">
      <x:c r="A211" s="158" t="n">
        <x:v>35</x:v>
      </x:c>
      <x:c r="B211" s="158" t="str">
        <x:v>Thuật toán, SQL và lập trình trực tiếp</x:v>
      </x:c>
      <x:c r="C211" s="158" t="str">
        <x:v>Không viết mã trước khi làm rõ yêu cầu</x:v>
      </x:c>
      <x:c r="D211" s="158" t="str">
        <x:v>Chưa đánh giá</x:v>
      </x:c>
      <x:c r="E211" s="158" t="str"/>
      <x:c r="F211" s="158" t="str"/>
      <x:c r="G211" s="158" t="str">
        <x:v>Có</x:v>
      </x:c>
    </x:row>
    <x:row r="212" ht="40" customHeight="1">
      <x:c r="A212" s="158" t="n">
        <x:v>35</x:v>
      </x:c>
      <x:c r="B212" s="158" t="str">
        <x:v>Thuật toán, SQL và lập trình trực tiếp</x:v>
      </x:c>
      <x:c r="C212" s="158" t="str">
        <x:v>Bốn bài SQL có execution plan và cách tối ưu</x:v>
      </x:c>
      <x:c r="D212" s="158" t="str">
        <x:v>Chưa đánh giá</x:v>
      </x:c>
      <x:c r="E212" s="158" t="str"/>
      <x:c r="F212" s="158" t="str"/>
      <x:c r="G212" s="158" t="str">
        <x:v>Có</x:v>
      </x:c>
    </x:row>
    <x:row r="213" ht="40" customHeight="1">
      <x:c r="A213" s="158" t="n">
        <x:v>35</x:v>
      </x:c>
      <x:c r="B213" s="158" t="str">
        <x:v>Thuật toán, SQL và lập trình trực tiếp</x:v>
      </x:c>
      <x:c r="C213" s="158" t="str">
        <x:v>Hai phiên live coding không phụ thuộc IDE gợi ý quá mức</x:v>
      </x:c>
      <x:c r="D213" s="158" t="str">
        <x:v>Chưa đánh giá</x:v>
      </x:c>
      <x:c r="E213" s="158" t="str"/>
      <x:c r="F213" s="158" t="str"/>
      <x:c r="G213" s="158" t="str">
        <x:v>Có</x:v>
      </x:c>
    </x:row>
    <x:row r="214" ht="40" customHeight="1">
      <x:c r="A214" s="158" t="n">
        <x:v>35</x:v>
      </x:c>
      <x:c r="B214" s="158" t="str">
        <x:v>Thuật toán, SQL và lập trình trực tiếp</x:v>
      </x:c>
      <x:c r="C214" s="158" t="str">
        <x:v>Có nhật ký lỗi lặp lại và kế hoạch khắc phục</x:v>
      </x:c>
      <x:c r="D214" s="158" t="str">
        <x:v>Chưa đánh giá</x:v>
      </x:c>
      <x:c r="E214" s="158" t="str"/>
      <x:c r="F214" s="158" t="str"/>
      <x:c r="G214" s="158" t="str">
        <x:v>Có</x:v>
      </x:c>
    </x:row>
    <x:row r="215" ht="40" customHeight="1">
      <x:c r="A215" s="158" t="n">
        <x:v>36</x:v>
      </x:c>
      <x:c r="B215" s="158" t="str">
        <x:v>Tiếng Anh kỹ thuật và câu chuyện Senior</x:v>
      </x:c>
      <x:c r="C215" s="158" t="str">
        <x:v>Có sáu câu chuyện không trùng hoàn toàn về năng lực</x:v>
      </x:c>
      <x:c r="D215" s="158" t="str">
        <x:v>Chưa đánh giá</x:v>
      </x:c>
      <x:c r="E215" s="158" t="str"/>
      <x:c r="F215" s="158" t="str"/>
      <x:c r="G215" s="158" t="str">
        <x:v>Có</x:v>
      </x:c>
    </x:row>
    <x:row r="216" ht="40" customHeight="1">
      <x:c r="A216" s="158" t="n">
        <x:v>36</x:v>
      </x:c>
      <x:c r="B216" s="158" t="str">
        <x:v>Tiếng Anh kỹ thuật và câu chuyện Senior</x:v>
      </x:c>
      <x:c r="C216" s="158" t="str">
        <x:v>Mỗi câu chuyện nêu rõ hành động cá nhân</x:v>
      </x:c>
      <x:c r="D216" s="158" t="str">
        <x:v>Chưa đánh giá</x:v>
      </x:c>
      <x:c r="E216" s="158" t="str"/>
      <x:c r="F216" s="158" t="str"/>
      <x:c r="G216" s="158" t="str">
        <x:v>Có</x:v>
      </x:c>
    </x:row>
    <x:row r="217" ht="40" customHeight="1">
      <x:c r="A217" s="158" t="n">
        <x:v>36</x:v>
      </x:c>
      <x:c r="B217" s="158" t="str">
        <x:v>Tiếng Anh kỹ thuật và câu chuyện Senior</x:v>
      </x:c>
      <x:c r="C217" s="158" t="str">
        <x:v>Kết quả có số liệu hoặc bằng chứng cụ thể khi có</x:v>
      </x:c>
      <x:c r="D217" s="158" t="str">
        <x:v>Chưa đánh giá</x:v>
      </x:c>
      <x:c r="E217" s="158" t="str"/>
      <x:c r="F217" s="158" t="str"/>
      <x:c r="G217" s="158" t="str">
        <x:v>Có</x:v>
      </x:c>
    </x:row>
    <x:row r="218" ht="40" customHeight="1">
      <x:c r="A218" s="158" t="n">
        <x:v>36</x:v>
      </x:c>
      <x:c r="B218" s="158" t="str">
        <x:v>Tiếng Anh kỹ thuật và câu chuyện Senior</x:v>
      </x:c>
      <x:c r="C218" s="158" t="str">
        <x:v>Giải thích được một quyết định kiến trúc trong 10 phút</x:v>
      </x:c>
      <x:c r="D218" s="158" t="str">
        <x:v>Chưa đánh giá</x:v>
      </x:c>
      <x:c r="E218" s="158" t="str"/>
      <x:c r="F218" s="158" t="str"/>
      <x:c r="G218" s="158" t="str">
        <x:v>Có</x:v>
      </x:c>
    </x:row>
    <x:row r="219" ht="40" customHeight="1">
      <x:c r="A219" s="158" t="n">
        <x:v>36</x:v>
      </x:c>
      <x:c r="B219" s="158" t="str">
        <x:v>Tiếng Anh kỹ thuật và câu chuyện Senior</x:v>
      </x:c>
      <x:c r="C219" s="158" t="str">
        <x:v>Xử lý được câu hỏi phản biện bằng tiếng Anh</x:v>
      </x:c>
      <x:c r="D219" s="158" t="str">
        <x:v>Chưa đánh giá</x:v>
      </x:c>
      <x:c r="E219" s="158" t="str"/>
      <x:c r="F219" s="158" t="str"/>
      <x:c r="G219" s="158" t="str">
        <x:v>Có</x:v>
      </x:c>
    </x:row>
    <x:row r="220" ht="40" customHeight="1">
      <x:c r="A220" s="158" t="n">
        <x:v>36</x:v>
      </x:c>
      <x:c r="B220" s="158" t="str">
        <x:v>Tiếng Anh kỹ thuật và câu chuyện Senior</x:v>
      </x:c>
      <x:c r="C220" s="158" t="str">
        <x:v>Ba buổi ghi âm cho thấy lỗi chính đã giảm</x:v>
      </x:c>
      <x:c r="D220" s="158" t="str">
        <x:v>Chưa đánh giá</x:v>
      </x:c>
      <x:c r="E220" s="158" t="str"/>
      <x:c r="F220" s="158" t="str"/>
      <x:c r="G220" s="158" t="str">
        <x:v>Có</x:v>
      </x:c>
    </x:row>
    <x:row r="221" ht="40" customHeight="1">
      <x:c r="A221" s="158" t="n">
        <x:v>37</x:v>
      </x:c>
      <x:c r="B221" s="158" t="str">
        <x:v>GitHub, CV và hồ sơ nghề nghiệp</x:v>
      </x:c>
      <x:c r="C221" s="158" t="str">
        <x:v>Tiêu đề hồ sơ nhất quán với Senior Java Backend</x:v>
      </x:c>
      <x:c r="D221" s="158" t="str">
        <x:v>Chưa đánh giá</x:v>
      </x:c>
      <x:c r="E221" s="158" t="str"/>
      <x:c r="F221" s="158" t="str"/>
      <x:c r="G221" s="158" t="str">
        <x:v>Có</x:v>
      </x:c>
    </x:row>
    <x:row r="222" ht="40" customHeight="1">
      <x:c r="A222" s="158" t="n">
        <x:v>37</x:v>
      </x:c>
      <x:c r="B222" s="158" t="str">
        <x:v>GitHub, CV và hồ sơ nghề nghiệp</x:v>
      </x:c>
      <x:c r="C222" s="158" t="str">
        <x:v>Thành tích công việc dùng động từ và kết quả cụ thể</x:v>
      </x:c>
      <x:c r="D222" s="158" t="str">
        <x:v>Chưa đánh giá</x:v>
      </x:c>
      <x:c r="E222" s="158" t="str"/>
      <x:c r="F222" s="158" t="str"/>
      <x:c r="G222" s="158" t="str">
        <x:v>Có</x:v>
      </x:c>
    </x:row>
    <x:row r="223" ht="40" customHeight="1">
      <x:c r="A223" s="158" t="n">
        <x:v>37</x:v>
      </x:c>
      <x:c r="B223" s="158" t="str">
        <x:v>GitHub, CV và hồ sơ nghề nghiệp</x:v>
      </x:c>
      <x:c r="C223" s="158" t="str">
        <x:v>Hai dự án có README, sơ đồ, demo và hướng dẫn chạy</x:v>
      </x:c>
      <x:c r="D223" s="158" t="str">
        <x:v>Chưa đánh giá</x:v>
      </x:c>
      <x:c r="E223" s="158" t="str"/>
      <x:c r="F223" s="158" t="str"/>
      <x:c r="G223" s="158" t="str">
        <x:v>Có</x:v>
      </x:c>
    </x:row>
    <x:row r="224" ht="40" customHeight="1">
      <x:c r="A224" s="158" t="n">
        <x:v>37</x:v>
      </x:c>
      <x:c r="B224" s="158" t="str">
        <x:v>GitHub, CV và hồ sơ nghề nghiệp</x:v>
      </x:c>
      <x:c r="C224" s="158" t="str">
        <x:v>Không để bí mật hoặc dữ liệu thật trong repository</x:v>
      </x:c>
      <x:c r="D224" s="158" t="str">
        <x:v>Chưa đánh giá</x:v>
      </x:c>
      <x:c r="E224" s="158" t="str"/>
      <x:c r="F224" s="158" t="str"/>
      <x:c r="G224" s="158" t="str">
        <x:v>Có</x:v>
      </x:c>
    </x:row>
    <x:row r="225" ht="40" customHeight="1">
      <x:c r="A225" s="158" t="n">
        <x:v>37</x:v>
      </x:c>
      <x:c r="B225" s="158" t="str">
        <x:v>GitHub, CV và hồ sơ nghề nghiệp</x:v>
      </x:c>
      <x:c r="C225" s="158" t="str">
        <x:v>CV không dài dòng và ưu tiên bằng chứng liên quan</x:v>
      </x:c>
      <x:c r="D225" s="158" t="str">
        <x:v>Chưa đánh giá</x:v>
      </x:c>
      <x:c r="E225" s="158" t="str"/>
      <x:c r="F225" s="158" t="str"/>
      <x:c r="G225" s="158" t="str">
        <x:v>Có</x:v>
      </x:c>
    </x:row>
    <x:row r="226" ht="40" customHeight="1">
      <x:c r="A226" s="158" t="n">
        <x:v>37</x:v>
      </x:c>
      <x:c r="B226" s="158" t="str">
        <x:v>GitHub, CV và hồ sơ nghề nghiệp</x:v>
      </x:c>
      <x:c r="C226" s="158" t="str">
        <x:v>Có phiên bản tiếng Anh được người khác phản biện</x:v>
      </x:c>
      <x:c r="D226" s="158" t="str">
        <x:v>Chưa đánh giá</x:v>
      </x:c>
      <x:c r="E226" s="158" t="str"/>
      <x:c r="F226" s="158" t="str"/>
      <x:c r="G226" s="158" t="str">
        <x:v>Có</x:v>
      </x:c>
    </x:row>
    <x:row r="227" ht="40" customHeight="1">
      <x:c r="A227" s="158" t="n">
        <x:v>38</x:v>
      </x:c>
      <x:c r="B227" s="158" t="str">
        <x:v>Phỏng vấn giả lập và sửa khoảng trống</x:v>
      </x:c>
      <x:c r="C227" s="158" t="str">
        <x:v>Có một vòng Java/Spring và cơ sở dữ liệu</x:v>
      </x:c>
      <x:c r="D227" s="158" t="str">
        <x:v>Chưa đánh giá</x:v>
      </x:c>
      <x:c r="E227" s="158" t="str"/>
      <x:c r="F227" s="158" t="str"/>
      <x:c r="G227" s="158" t="str">
        <x:v>Có</x:v>
      </x:c>
    </x:row>
    <x:row r="228" ht="40" customHeight="1">
      <x:c r="A228" s="158" t="n">
        <x:v>38</x:v>
      </x:c>
      <x:c r="B228" s="158" t="str">
        <x:v>Phỏng vấn giả lập và sửa khoảng trống</x:v>
      </x:c>
      <x:c r="C228" s="158" t="str">
        <x:v>Có một vòng thiết kế hệ thống 60 phút</x:v>
      </x:c>
      <x:c r="D228" s="158" t="str">
        <x:v>Chưa đánh giá</x:v>
      </x:c>
      <x:c r="E228" s="158" t="str"/>
      <x:c r="F228" s="158" t="str"/>
      <x:c r="G228" s="158" t="str">
        <x:v>Có</x:v>
      </x:c>
    </x:row>
    <x:row r="229" ht="40" customHeight="1">
      <x:c r="A229" s="158" t="n">
        <x:v>38</x:v>
      </x:c>
      <x:c r="B229" s="158" t="str">
        <x:v>Phỏng vấn giả lập và sửa khoảng trống</x:v>
      </x:c>
      <x:c r="C229" s="158" t="str">
        <x:v>Có một vòng hành vi bằng tiếng Anh</x:v>
      </x:c>
      <x:c r="D229" s="158" t="str">
        <x:v>Chưa đánh giá</x:v>
      </x:c>
      <x:c r="E229" s="158" t="str"/>
      <x:c r="F229" s="158" t="str"/>
      <x:c r="G229" s="158" t="str">
        <x:v>Có</x:v>
      </x:c>
    </x:row>
    <x:row r="230" ht="40" customHeight="1">
      <x:c r="A230" s="158" t="n">
        <x:v>38</x:v>
      </x:c>
      <x:c r="B230" s="158" t="str">
        <x:v>Phỏng vấn giả lập và sửa khoảng trống</x:v>
      </x:c>
      <x:c r="C230" s="158" t="str">
        <x:v>Mỗi vòng được chấm theo cùng rubric</x:v>
      </x:c>
      <x:c r="D230" s="158" t="str">
        <x:v>Chưa đánh giá</x:v>
      </x:c>
      <x:c r="E230" s="158" t="str"/>
      <x:c r="F230" s="158" t="str"/>
      <x:c r="G230" s="158" t="str">
        <x:v>Có</x:v>
      </x:c>
    </x:row>
    <x:row r="231" ht="40" customHeight="1">
      <x:c r="A231" s="158" t="n">
        <x:v>38</x:v>
      </x:c>
      <x:c r="B231" s="158" t="str">
        <x:v>Phỏng vấn giả lập và sửa khoảng trống</x:v>
      </x:c>
      <x:c r="C231" s="158" t="str">
        <x:v>Ba khoảng trống lớn nhất có hành động sửa cụ thể</x:v>
      </x:c>
      <x:c r="D231" s="158" t="str">
        <x:v>Chưa đánh giá</x:v>
      </x:c>
      <x:c r="E231" s="158" t="str"/>
      <x:c r="F231" s="158" t="str"/>
      <x:c r="G231" s="158" t="str">
        <x:v>Có</x:v>
      </x:c>
    </x:row>
    <x:row r="232" ht="40" customHeight="1">
      <x:c r="A232" s="158" t="n">
        <x:v>38</x:v>
      </x:c>
      <x:c r="B232" s="158" t="str">
        <x:v>Phỏng vấn giả lập và sửa khoảng trống</x:v>
      </x:c>
      <x:c r="C232" s="158" t="str">
        <x:v>Bằng chứng sửa được đưa vào mã, tài liệu hoặc câu trả lời</x:v>
      </x:c>
      <x:c r="D232" s="158" t="str">
        <x:v>Chưa đánh giá</x:v>
      </x:c>
      <x:c r="E232" s="158" t="str"/>
      <x:c r="F232" s="158" t="str"/>
      <x:c r="G232" s="158" t="str">
        <x:v>Có</x:v>
      </x:c>
    </x:row>
    <x:row r="233" ht="40" customHeight="1">
      <x:c r="A233" s="158" t="n">
        <x:v>39</x:v>
      </x:c>
      <x:c r="B233" s="158" t="str">
        <x:v>Đánh giá cuối và bộ hồ sơ ứng tuyển</x:v>
      </x:c>
      <x:c r="C233" s="158" t="str">
        <x:v>Hai dự án được triển khai và trình diễn được</x:v>
      </x:c>
      <x:c r="D233" s="158" t="str">
        <x:v>Chưa đánh giá</x:v>
      </x:c>
      <x:c r="E233" s="158" t="str"/>
      <x:c r="F233" s="158" t="str"/>
      <x:c r="G233" s="158" t="str">
        <x:v>Có</x:v>
      </x:c>
    </x:row>
    <x:row r="234" ht="40" customHeight="1">
      <x:c r="A234" s="158" t="n">
        <x:v>39</x:v>
      </x:c>
      <x:c r="B234" s="158" t="str">
        <x:v>Đánh giá cuối và bộ hồ sơ ứng tuyển</x:v>
      </x:c>
      <x:c r="C234" s="158" t="str">
        <x:v>Điểm tổng chương trình đạt tối thiểu 80</x:v>
      </x:c>
      <x:c r="D234" s="158" t="str">
        <x:v>Chưa đánh giá</x:v>
      </x:c>
      <x:c r="E234" s="158" t="str"/>
      <x:c r="F234" s="158" t="str"/>
      <x:c r="G234" s="158" t="str">
        <x:v>Có</x:v>
      </x:c>
    </x:row>
    <x:row r="235" ht="40" customHeight="1">
      <x:c r="A235" s="158" t="n">
        <x:v>39</x:v>
      </x:c>
      <x:c r="B235" s="158" t="str">
        <x:v>Đánh giá cuối và bộ hồ sơ ứng tuyển</x:v>
      </x:c>
      <x:c r="C235" s="158" t="str">
        <x:v>Không còn khoảng trống bắt buộc chưa xử lý</x:v>
      </x:c>
      <x:c r="D235" s="158" t="str">
        <x:v>Chưa đánh giá</x:v>
      </x:c>
      <x:c r="E235" s="158" t="str"/>
      <x:c r="F235" s="158" t="str"/>
      <x:c r="G235" s="158" t="str">
        <x:v>Có</x:v>
      </x:c>
    </x:row>
    <x:row r="236" ht="40" customHeight="1">
      <x:c r="A236" s="158" t="n">
        <x:v>39</x:v>
      </x:c>
      <x:c r="B236" s="158" t="str">
        <x:v>Đánh giá cuối và bộ hồ sơ ứng tuyển</x:v>
      </x:c>
      <x:c r="C236" s="158" t="str">
        <x:v>Hoàn thành một phỏng vấn kỹ thuật hoàn toàn bằng tiếng Anh</x:v>
      </x:c>
      <x:c r="D236" s="158" t="str">
        <x:v>Chưa đánh giá</x:v>
      </x:c>
      <x:c r="E236" s="158" t="str"/>
      <x:c r="F236" s="158" t="str"/>
      <x:c r="G236" s="158" t="str">
        <x:v>Có</x:v>
      </x:c>
    </x:row>
    <x:row r="237" ht="40" customHeight="1">
      <x:c r="A237" s="158" t="n">
        <x:v>39</x:v>
      </x:c>
      <x:c r="B237" s="158" t="str">
        <x:v>Đánh giá cuối và bộ hồ sơ ứng tuyển</x:v>
      </x:c>
      <x:c r="C237" s="158" t="str">
        <x:v>Có danh sách vị trí mục tiêu và ma trận phù hợp</x:v>
      </x:c>
      <x:c r="D237" s="158" t="str">
        <x:v>Chưa đánh giá</x:v>
      </x:c>
      <x:c r="E237" s="158" t="str"/>
      <x:c r="F237" s="158" t="str"/>
      <x:c r="G237" s="158" t="str">
        <x:v>Có</x:v>
      </x:c>
    </x:row>
    <x:row r="238" ht="40" customHeight="1">
      <x:c r="A238" s="158" t="n">
        <x:v>39</x:v>
      </x:c>
      <x:c r="B238" s="158" t="str">
        <x:v>Đánh giá cuối và bộ hồ sơ ứng tuyển</x:v>
      </x:c>
      <x:c r="C238" s="158" t="str">
        <x:v>Có kế hoạch ứng tuyển 30 ngày với chỉ tiêu thực tế</x:v>
      </x:c>
      <x:c r="D238" s="158" t="str">
        <x:v>Chưa đánh giá</x:v>
      </x:c>
      <x:c r="E238" s="158" t="str"/>
      <x:c r="F238" s="158" t="str"/>
      <x:c r="G238" s="158" t="str">
        <x:v>Có</x:v>
      </x:c>
    </x:row>
  </x:sheetData>
  <x:mergeCells>
    <x:mergeCell ref="A1:G1"/>
    <x:mergeCell ref="A2:G2"/>
  </x:mergeCells>
  <x:conditionalFormatting sqref="D5:D238">
    <x:cfRule type="containsText" dxfId="20" priority="1" operator="containsText" text="Hoàn thành"/>
    <x:cfRule type="containsText" dxfId="21" priority="2" operator="containsText" text="Đạt"/>
    <x:cfRule type="containsText" dxfId="22" priority="3" operator="containsText" text="Đang làm"/>
    <x:cfRule type="containsText" dxfId="23" priority="4" operator="containsText" text="Cần bổ sung"/>
    <x:cfRule type="containsText" dxfId="24" priority="5" operator="containsText" text="Không đạt"/>
  </x:conditionalFormatting>
  <x:dataValidations count="1">
    <x:dataValidation type="list" sqref="D5:D238">
      <x:formula1>"Chưa đánh giá,Đạt,Không đạt,Cần bổ sung"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46" hidden="0" customWidth="1"/>
    <x:col min="4" max="4" width="42" hidden="0" customWidth="1"/>
    <x:col min="5" max="5" width="16" hidden="0" customWidth="1"/>
    <x:col min="6" max="6" width="30" hidden="0" customWidth="1"/>
    <x:col min="7" max="7" width="12" hidden="0" customWidth="1"/>
    <x:col min="8" max="8" width="30" hidden="0" customWidth="1"/>
    <x:col min="9" max="9" width="30" hidden="0" customWidth="1"/>
  </x:cols>
  <x:sheetData>
    <x:row r="1">
      <x:c r="A1" s="246" t="str">
        <x:v>DỰ ÁN 1 – NGÂN HÀNG SỐ VÀ SỔ CÁI</x:v>
      </x:c>
      <x:c r="B1" s="200"/>
      <x:c r="C1" s="200"/>
      <x:c r="D1" s="200"/>
      <x:c r="E1" s="200"/>
      <x:c r="F1" s="200"/>
      <x:c r="G1" s="200"/>
      <x:c r="H1" s="200"/>
      <x:c r="I1" s="200"/>
    </x:row>
    <x:row r="2">
      <x:c r="A2" s="149" t="str">
        <x:v>Tuần 18–26 • Sổ cái kép • Chuyển tiền • Kafka/Outbox • Bảo mật • Tải • Cloud</x:v>
      </x:c>
      <x:c r="B2" s="202"/>
      <x:c r="C2" s="202"/>
      <x:c r="D2" s="202"/>
      <x:c r="E2" s="202"/>
      <x:c r="F2" s="202"/>
      <x:c r="G2" s="202"/>
      <x:c r="H2" s="202"/>
      <x:c r="I2" s="202"/>
    </x:row>
    <x:row r="3">
      <x:c r="A3" s="205"/>
      <x:c r="B3" s="205"/>
      <x:c r="C3" s="205"/>
      <x:c r="D3" s="205"/>
      <x:c r="E3" s="205"/>
      <x:c r="F3" s="205"/>
      <x:c r="G3" s="205"/>
      <x:c r="H3" s="205"/>
      <x:c r="I3" s="205"/>
    </x:row>
    <x:row r="4">
      <x:c r="A4" s="203" t="str">
        <x:v>Tuần</x:v>
      </x:c>
      <x:c r="B4" s="206" t="str">
        <x:v>Hạng mục</x:v>
      </x:c>
      <x:c r="C4" s="206" t="str">
        <x:v>Mục tiêu</x:v>
      </x:c>
      <x:c r="D4" s="206" t="str">
        <x:v>Sản phẩm</x:v>
      </x:c>
      <x:c r="E4" s="206" t="str">
        <x:v>Trạng thái</x:v>
      </x:c>
      <x:c r="F4" s="206" t="str">
        <x:v>Bằng chứng/URL</x:v>
      </x:c>
      <x:c r="G4" s="206" t="str">
        <x:v>Tiến độ</x:v>
      </x:c>
      <x:c r="H4" s="206" t="str">
        <x:v>Rủi ro</x:v>
      </x:c>
      <x:c r="I4" s="204" t="str">
        <x:v>Hành động tiếp</x:v>
      </x:c>
    </x:row>
    <x:row r="5" ht="62" customHeight="1">
      <x:c r="A5" s="155" t="n">
        <x:v>18</x:v>
      </x:c>
      <x:c r="B5" s="155" t="str">
        <x:v>Nghiệp vụ tài khoản, số dư và sổ cái</x:v>
      </x:c>
      <x:c r="C5" s="155" t="str">
        <x:v>Hoàn thành mô hình miền và 12 quy tắc nghiệp vụ dự án ngân hàng</x:v>
      </x:c>
      <x:c r="D5" s="155" t="str">
        <x:v>domain glossary; context map; business rules; sequence diagrams</x:v>
      </x:c>
      <x:c r="E5" s="155" t="str">
        <x:v>Chưa bắt đầu</x:v>
      </x:c>
      <x:c r="F5" s="155" t="str"/>
      <x:c r="G5" s="193" t="n">
        <x:f>IFERROR(COUNTIFS('03 Kế hoạch tuần'!$A$5:$A$277,A5,'03 Kế hoạch tuần'!$H$5:$H$277,"Hoàn thành")/COUNTIF('03 Kế hoạch tuần'!$A$5:$A$277,A5),0)</x:f>
        <x:v>0</x:v>
      </x:c>
      <x:c r="H5" s="155" t="str"/>
      <x:c r="I5" s="155" t="str"/>
    </x:row>
    <x:row r="6" ht="62" customHeight="1">
      <x:c r="A6" s="158" t="n">
        <x:v>19</x:v>
      </x:c>
      <x:c r="B6" s="158" t="str">
        <x:v>Kiến trúc dự án ngân hàng</x:v>
      </x:c>
      <x:c r="C6" s="158" t="str">
        <x:v>Khóa phạm vi dự án và kiến trúc đủ triển khai trong tám tuần</x:v>
      </x:c>
      <x:c r="D6" s="158" t="str">
        <x:v>C4 diagrams; ADR set; backlog; API contracts</x:v>
      </x:c>
      <x:c r="E6" s="158" t="str">
        <x:v>Chưa bắt đầu</x:v>
      </x:c>
      <x:c r="F6" s="158" t="str"/>
      <x:c r="G6" s="194" t="n">
        <x:f>IFERROR(COUNTIFS('03 Kế hoạch tuần'!$A$5:$A$277,A6,'03 Kế hoạch tuần'!$H$5:$H$277,"Hoàn thành")/COUNTIF('03 Kế hoạch tuần'!$A$5:$A$277,A6),0)</x:f>
        <x:v>0</x:v>
      </x:c>
      <x:c r="H6" s="158" t="str"/>
      <x:c r="I6" s="158" t="str"/>
    </x:row>
    <x:row r="7" ht="62" customHeight="1">
      <x:c r="A7" s="158" t="n">
        <x:v>20</x:v>
      </x:c>
      <x:c r="B7" s="158" t="str">
        <x:v>Khách hàng và tài khoản</x:v>
      </x:c>
      <x:c r="C7" s="158" t="str">
        <x:v>Hoàn thành module khách hàng–tài khoản với API, dữ liệu và kiểm thử</x:v>
      </x:c>
      <x:c r="D7" s="158" t="str">
        <x:v>customer/account module; migration scripts; OpenAPI; tests</x:v>
      </x:c>
      <x:c r="E7" s="158" t="str">
        <x:v>Chưa bắt đầu</x:v>
      </x:c>
      <x:c r="F7" s="158" t="str"/>
      <x:c r="G7" s="194" t="n">
        <x:f>IFERROR(COUNTIFS('03 Kế hoạch tuần'!$A$5:$A$277,A7,'03 Kế hoạch tuần'!$H$5:$H$277,"Hoàn thành")/COUNTIF('03 Kế hoạch tuần'!$A$5:$A$277,A7),0)</x:f>
        <x:v>0</x:v>
      </x:c>
      <x:c r="H7" s="158" t="str"/>
      <x:c r="I7" s="158" t="str"/>
    </x:row>
    <x:row r="8" ht="62" customHeight="1">
      <x:c r="A8" s="158" t="n">
        <x:v>21</x:v>
      </x:c>
      <x:c r="B8" s="158" t="str">
        <x:v>Sổ cái kép và tính bất biến</x:v>
      </x:c>
      <x:c r="C8" s="158" t="str">
        <x:v>Ghi sổ kép bảo đảm tổng ghi nợ bằng tổng ghi có</x:v>
      </x:c>
      <x:c r="D8" s="158" t="str">
        <x:v>ledger module; reversal flow; invariant tests; ADR</x:v>
      </x:c>
      <x:c r="E8" s="158" t="str">
        <x:v>Chưa bắt đầu</x:v>
      </x:c>
      <x:c r="F8" s="158" t="str"/>
      <x:c r="G8" s="194" t="n">
        <x:f>IFERROR(COUNTIFS('03 Kế hoạch tuần'!$A$5:$A$277,A8,'03 Kế hoạch tuần'!$H$5:$H$277,"Hoàn thành")/COUNTIF('03 Kế hoạch tuần'!$A$5:$A$277,A8),0)</x:f>
        <x:v>0</x:v>
      </x:c>
      <x:c r="H8" s="158" t="str"/>
      <x:c r="I8" s="158" t="str"/>
    </x:row>
    <x:row r="9" ht="62" customHeight="1">
      <x:c r="A9" s="158" t="n">
        <x:v>22</x:v>
      </x:c>
      <x:c r="B9" s="158" t="str">
        <x:v>Chuyển tiền, khóa và chống chi tiêu hai lần</x:v>
      </x:c>
      <x:c r="C9" s="158" t="str">
        <x:v>Xử lý 100 yêu cầu đồng thời mà không tạo số dư âm hoặc giao dịch trùng</x:v>
      </x:c>
      <x:c r="D9" s="158" t="str">
        <x:v>transfer module; concurrency test; locking decision report</x:v>
      </x:c>
      <x:c r="E9" s="158" t="str">
        <x:v>Chưa bắt đầu</x:v>
      </x:c>
      <x:c r="F9" s="158" t="str"/>
      <x:c r="G9" s="194" t="n">
        <x:f>IFERROR(COUNTIFS('03 Kế hoạch tuần'!$A$5:$A$277,A9,'03 Kế hoạch tuần'!$H$5:$H$277,"Hoàn thành")/COUNTIF('03 Kế hoạch tuần'!$A$5:$A$277,A9),0)</x:f>
        <x:v>0</x:v>
      </x:c>
      <x:c r="H9" s="158" t="str"/>
      <x:c r="I9" s="158" t="str"/>
    </x:row>
    <x:row r="10" ht="62" customHeight="1">
      <x:c r="A10" s="158" t="n">
        <x:v>23</x:v>
      </x:c>
      <x:c r="B10" s="158" t="str">
        <x:v>Outbox và sự kiện giao dịch</x:v>
      </x:c>
      <x:c r="C10" s="158" t="str">
        <x:v>Công bố sự kiện giao dịch tin cậy và xây consumer thông báo giả lập</x:v>
      </x:c>
      <x:c r="D10" s="158" t="str">
        <x:v>outbox publisher; Kafka topics; notification consumer; recovery tests</x:v>
      </x:c>
      <x:c r="E10" s="158" t="str">
        <x:v>Chưa bắt đầu</x:v>
      </x:c>
      <x:c r="F10" s="158" t="str"/>
      <x:c r="G10" s="194" t="n">
        <x:f>IFERROR(COUNTIFS('03 Kế hoạch tuần'!$A$5:$A$277,A10,'03 Kế hoạch tuần'!$H$5:$H$277,"Hoàn thành")/COUNTIF('03 Kế hoạch tuần'!$A$5:$A$277,A10),0)</x:f>
        <x:v>0</x:v>
      </x:c>
      <x:c r="H10" s="158" t="str"/>
      <x:c r="I10" s="158" t="str"/>
    </x:row>
    <x:row r="11" ht="62" customHeight="1">
      <x:c r="A11" s="158" t="n">
        <x:v>24</x:v>
      </x:c>
      <x:c r="B11" s="158" t="str">
        <x:v>Bảo mật và nhật ký kiểm toán</x:v>
      </x:c>
      <x:c r="C11" s="158" t="str">
        <x:v>Hoàn thiện lớp bảo mật và truy vết mọi thao tác nhạy cảm</x:v>
      </x:c>
      <x:c r="D11" s="158" t="str">
        <x:v>security policies; audit module; security tests; threat model update</x:v>
      </x:c>
      <x:c r="E11" s="158" t="str">
        <x:v>Chưa bắt đầu</x:v>
      </x:c>
      <x:c r="F11" s="158" t="str"/>
      <x:c r="G11" s="194" t="n">
        <x:f>IFERROR(COUNTIFS('03 Kế hoạch tuần'!$A$5:$A$277,A11,'03 Kế hoạch tuần'!$H$5:$H$277,"Hoàn thành")/COUNTIF('03 Kế hoạch tuần'!$A$5:$A$277,A11),0)</x:f>
        <x:v>0</x:v>
      </x:c>
      <x:c r="H11" s="158" t="str"/>
      <x:c r="I11" s="158" t="str"/>
    </x:row>
    <x:row r="12" ht="62" customHeight="1">
      <x:c r="A12" s="158" t="n">
        <x:v>25</x:v>
      </x:c>
      <x:c r="B12" s="158" t="str">
        <x:v>Kiểm thử tải và khả năng quan sát</x:v>
      </x:c>
      <x:c r="C12" s="158" t="str">
        <x:v>Đạt tải mục tiêu tự đặt và chứng minh hệ thống không mất tính đúng đắn</x:v>
      </x:c>
      <x:c r="D12" s="158" t="str">
        <x:v>k6 scripts; load report; dashboard; tuning log</x:v>
      </x:c>
      <x:c r="E12" s="158" t="str">
        <x:v>Chưa bắt đầu</x:v>
      </x:c>
      <x:c r="F12" s="158" t="str"/>
      <x:c r="G12" s="194" t="n">
        <x:f>IFERROR(COUNTIFS('03 Kế hoạch tuần'!$A$5:$A$277,A12,'03 Kế hoạch tuần'!$H$5:$H$277,"Hoàn thành")/COUNTIF('03 Kế hoạch tuần'!$A$5:$A$277,A12),0)</x:f>
        <x:v>0</x:v>
      </x:c>
      <x:c r="H12" s="158" t="str"/>
      <x:c r="I12" s="158" t="str"/>
    </x:row>
    <x:row r="13" ht="62" customHeight="1">
      <x:c r="A13" s="158" t="n">
        <x:v>26</x:v>
      </x:c>
      <x:c r="B13" s="158" t="str">
        <x:v>Triển khai, tài liệu và trình diễn dự án 1</x:v>
      </x:c>
      <x:c r="C13" s="158" t="str">
        <x:v>Triển khai bản dùng thử trên cloud chi phí thấp và trình diễn trong 15 phút</x:v>
      </x:c>
      <x:c r="D13" s="158" t="str">
        <x:v>deployment URL; English README; runbook; demo video; release v1.0</x:v>
      </x:c>
      <x:c r="E13" s="158" t="str">
        <x:v>Chưa bắt đầu</x:v>
      </x:c>
      <x:c r="F13" s="158" t="str"/>
      <x:c r="G13" s="194" t="n">
        <x:f>IFERROR(COUNTIFS('03 Kế hoạch tuần'!$A$5:$A$277,A13,'03 Kế hoạch tuần'!$H$5:$H$277,"Hoàn thành")/COUNTIF('03 Kế hoạch tuần'!$A$5:$A$277,A13),0)</x:f>
        <x:v>0</x:v>
      </x:c>
      <x:c r="H13" s="158" t="str"/>
      <x:c r="I13" s="158" t="str"/>
    </x:row>
  </x:sheetData>
  <x:mergeCells>
    <x:mergeCell ref="A1:I1"/>
    <x:mergeCell ref="A2:I2"/>
  </x:mergeCells>
  <x:conditionalFormatting sqref="E5:E13">
    <x:cfRule type="containsText" dxfId="25" priority="1" operator="containsText" text="Hoàn thành"/>
    <x:cfRule type="containsText" dxfId="26" priority="2" operator="containsText" text="Đạt"/>
    <x:cfRule type="containsText" dxfId="27" priority="3" operator="containsText" text="Đang làm"/>
    <x:cfRule type="containsText" dxfId="28" priority="4" operator="containsText" text="Cần bổ sung"/>
    <x:cfRule type="containsText" dxfId="29" priority="5" operator="containsText" text="Không đạt"/>
  </x:conditionalFormatting>
  <x:conditionalFormatting sqref="G5:G13">
    <x:cfRule type="dataBar" priority="6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{430DE7F8-B8B0-EF08-B1C5-F04C2DAB1C0C}</x14:id>
        </x:ext>
      </x:extLst>
    </x:cfRule>
  </x:conditionalFormatting>
  <x:dataValidations count="1">
    <x:dataValidation type="list" sqref="E5:E13">
      <x:formula1>"Chưa bắt đầu,Đang làm,Hoàn thành,Bị chặn"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430DE7F8-B8B0-EF08-B1C5-F04C2DAB1C0C}">
            <x14:dataBar gradient="1">
              <x14:cfvo type="min"/>
              <x14:cfvo type="max"/>
              <x14:fillColor rgb="FF2563EB"/>
            </x14:dataBar>
          </x14:cfRule>
          <xm:sqref>G5:G13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46" hidden="0" customWidth="1"/>
    <x:col min="4" max="4" width="42" hidden="0" customWidth="1"/>
    <x:col min="5" max="5" width="16" hidden="0" customWidth="1"/>
    <x:col min="6" max="6" width="30" hidden="0" customWidth="1"/>
    <x:col min="7" max="7" width="12" hidden="0" customWidth="1"/>
    <x:col min="8" max="8" width="30" hidden="0" customWidth="1"/>
    <x:col min="9" max="9" width="30" hidden="0" customWidth="1"/>
  </x:cols>
  <x:sheetData>
    <x:row r="1">
      <x:c r="A1" s="246" t="str">
        <x:v>DỰ ÁN 2 – DANH MỤC VÀ DỮ LIỆU THỊ TRƯỜNG</x:v>
      </x:c>
      <x:c r="B1" s="200"/>
      <x:c r="C1" s="200"/>
      <x:c r="D1" s="200"/>
      <x:c r="E1" s="200"/>
      <x:c r="F1" s="200"/>
      <x:c r="G1" s="200"/>
      <x:c r="H1" s="200"/>
      <x:c r="I1" s="200"/>
    </x:row>
    <x:row r="2">
      <x:c r="A2" s="149" t="str">
        <x:v>Tuần 27–32 • Kafka • Redis • WebSocket • Định giá • Chịu lỗi • Cloud</x:v>
      </x:c>
      <x:c r="B2" s="202"/>
      <x:c r="C2" s="202"/>
      <x:c r="D2" s="202"/>
      <x:c r="E2" s="202"/>
      <x:c r="F2" s="202"/>
      <x:c r="G2" s="202"/>
      <x:c r="H2" s="202"/>
      <x:c r="I2" s="202"/>
    </x:row>
    <x:row r="3">
      <x:c r="A3" s="205"/>
      <x:c r="B3" s="205"/>
      <x:c r="C3" s="205"/>
      <x:c r="D3" s="205"/>
      <x:c r="E3" s="205"/>
      <x:c r="F3" s="205"/>
      <x:c r="G3" s="205"/>
      <x:c r="H3" s="205"/>
      <x:c r="I3" s="205"/>
    </x:row>
    <x:row r="4">
      <x:c r="A4" s="203" t="str">
        <x:v>Tuần</x:v>
      </x:c>
      <x:c r="B4" s="206" t="str">
        <x:v>Hạng mục</x:v>
      </x:c>
      <x:c r="C4" s="206" t="str">
        <x:v>Mục tiêu</x:v>
      </x:c>
      <x:c r="D4" s="206" t="str">
        <x:v>Sản phẩm</x:v>
      </x:c>
      <x:c r="E4" s="206" t="str">
        <x:v>Trạng thái</x:v>
      </x:c>
      <x:c r="F4" s="206" t="str">
        <x:v>Bằng chứng/URL</x:v>
      </x:c>
      <x:c r="G4" s="206" t="str">
        <x:v>Tiến độ</x:v>
      </x:c>
      <x:c r="H4" s="206" t="str">
        <x:v>Rủi ro</x:v>
      </x:c>
      <x:c r="I4" s="204" t="str">
        <x:v>Hành động tiếp</x:v>
      </x:c>
    </x:row>
    <x:row r="5" ht="62" customHeight="1">
      <x:c r="A5" s="155" t="n">
        <x:v>27</x:v>
      </x:c>
      <x:c r="B5" s="155" t="str">
        <x:v>Nghiệp vụ danh mục và dữ liệu thị trường</x:v>
      </x:c>
      <x:c r="C5" s="155" t="str">
        <x:v>Hoàn thành từ điển nghiệp vụ và công thức định giá phạm vi dự án</x:v>
      </x:c>
      <x:c r="D5" s="155" t="str">
        <x:v>domain glossary; formulas; sample scenarios; context map</x:v>
      </x:c>
      <x:c r="E5" s="155" t="str">
        <x:v>Chưa bắt đầu</x:v>
      </x:c>
      <x:c r="F5" s="155" t="str"/>
      <x:c r="G5" s="193" t="n">
        <x:f>IFERROR(COUNTIFS('03 Kế hoạch tuần'!$A$5:$A$277,A5,'03 Kế hoạch tuần'!$H$5:$H$277,"Hoàn thành")/COUNTIF('03 Kế hoạch tuần'!$A$5:$A$277,A5),0)</x:f>
        <x:v>0</x:v>
      </x:c>
      <x:c r="H5" s="155" t="str"/>
      <x:c r="I5" s="155" t="str"/>
    </x:row>
    <x:row r="6" ht="62" customHeight="1">
      <x:c r="A6" s="158" t="n">
        <x:v>28</x:v>
      </x:c>
      <x:c r="B6" s="158" t="str">
        <x:v>Kiến trúc tiếp nhận dữ liệu thị trường</x:v>
      </x:c>
      <x:c r="C6" s="158" t="str">
        <x:v>Thiết kế kiến trúc dự án 2 và bộ phát giá mô phỏng</x:v>
      </x:c>
      <x:c r="D6" s="158" t="str">
        <x:v>C4 diagrams; event schema; simulator; ADR set</x:v>
      </x:c>
      <x:c r="E6" s="158" t="str">
        <x:v>Chưa bắt đầu</x:v>
      </x:c>
      <x:c r="F6" s="158" t="str"/>
      <x:c r="G6" s="194" t="n">
        <x:f>IFERROR(COUNTIFS('03 Kế hoạch tuần'!$A$5:$A$277,A6,'03 Kế hoạch tuần'!$H$5:$H$277,"Hoàn thành")/COUNTIF('03 Kế hoạch tuần'!$A$5:$A$277,A6),0)</x:f>
        <x:v>0</x:v>
      </x:c>
      <x:c r="H6" s="158" t="str"/>
      <x:c r="I6" s="158" t="str"/>
    </x:row>
    <x:row r="7" ht="62" customHeight="1">
      <x:c r="A7" s="158" t="n">
        <x:v>29</x:v>
      </x:c>
      <x:c r="B7" s="158" t="str">
        <x:v>Kafka và xử lý luồng giá</x:v>
      </x:c>
      <x:c r="C7" s="158" t="str">
        <x:v>Xử lý ổn định tối thiểu 10.000 sự kiện giá mô phỏng mỗi phút</x:v>
      </x:c>
      <x:c r="D7" s="158" t="str">
        <x:v>market-data pipeline; throughput report; replay tool</x:v>
      </x:c>
      <x:c r="E7" s="158" t="str">
        <x:v>Chưa bắt đầu</x:v>
      </x:c>
      <x:c r="F7" s="158" t="str"/>
      <x:c r="G7" s="194" t="n">
        <x:f>IFERROR(COUNTIFS('03 Kế hoạch tuần'!$A$5:$A$277,A7,'03 Kế hoạch tuần'!$H$5:$H$277,"Hoàn thành")/COUNTIF('03 Kế hoạch tuần'!$A$5:$A$277,A7),0)</x:f>
        <x:v>0</x:v>
      </x:c>
      <x:c r="H7" s="158" t="str"/>
      <x:c r="I7" s="158" t="str"/>
    </x:row>
    <x:row r="8" ht="62" customHeight="1">
      <x:c r="A8" s="158" t="n">
        <x:v>30</x:v>
      </x:c>
      <x:c r="B8" s="158" t="str">
        <x:v>Redis và WebSocket gần thời gian thực</x:v>
      </x:c>
      <x:c r="C8" s="158" t="str">
        <x:v>Cung cấp giá gần nhất qua REST và cập nhật trực tiếp qua WebSocket</x:v>
      </x:c>
      <x:c r="D8" s="158" t="str">
        <x:v>price cache; WebSocket endpoint; subscription tests; latency report</x:v>
      </x:c>
      <x:c r="E8" s="158" t="str">
        <x:v>Chưa bắt đầu</x:v>
      </x:c>
      <x:c r="F8" s="158" t="str"/>
      <x:c r="G8" s="194" t="n">
        <x:f>IFERROR(COUNTIFS('03 Kế hoạch tuần'!$A$5:$A$277,A8,'03 Kế hoạch tuần'!$H$5:$H$277,"Hoàn thành")/COUNTIF('03 Kế hoạch tuần'!$A$5:$A$277,A8),0)</x:f>
        <x:v>0</x:v>
      </x:c>
      <x:c r="H8" s="158" t="str"/>
      <x:c r="I8" s="158" t="str"/>
    </x:row>
    <x:row r="9" ht="62" customHeight="1">
      <x:c r="A9" s="158" t="n">
        <x:v>31</x:v>
      </x:c>
      <x:c r="B9" s="158" t="str">
        <x:v>Danh mục, vị thế và lãi/lỗ</x:v>
      </x:c>
      <x:c r="C9" s="158" t="str">
        <x:v>Tính đúng vị thế, giá trị danh mục và lãi/lỗ từ dữ liệu mẫu</x:v>
      </x:c>
      <x:c r="D9" s="158" t="str">
        <x:v>portfolio service; calculation tests; reconciliation report</x:v>
      </x:c>
      <x:c r="E9" s="158" t="str">
        <x:v>Chưa bắt đầu</x:v>
      </x:c>
      <x:c r="F9" s="158" t="str"/>
      <x:c r="G9" s="194" t="n">
        <x:f>IFERROR(COUNTIFS('03 Kế hoạch tuần'!$A$5:$A$277,A9,'03 Kế hoạch tuần'!$H$5:$H$277,"Hoàn thành")/COUNTIF('03 Kế hoạch tuần'!$A$5:$A$277,A9),0)</x:f>
        <x:v>0</x:v>
      </x:c>
      <x:c r="H9" s="158" t="str"/>
      <x:c r="I9" s="158" t="str"/>
    </x:row>
    <x:row r="10" ht="62" customHeight="1">
      <x:c r="A10" s="158" t="n">
        <x:v>32</x:v>
      </x:c>
      <x:c r="B10" s="158" t="str">
        <x:v>Chịu lỗi, kiểm thử tải và triển khai dự án 2</x:v>
      </x:c>
      <x:c r="C10" s="158" t="str">
        <x:v>Triển khai bản dùng thử ổn định và trình diễn dữ liệu thời gian thực</x:v>
      </x:c>
      <x:c r="D10" s="158" t="str">
        <x:v>deployment URL; dashboards; load/failure report; English README; demo</x:v>
      </x:c>
      <x:c r="E10" s="158" t="str">
        <x:v>Chưa bắt đầu</x:v>
      </x:c>
      <x:c r="F10" s="158" t="str"/>
      <x:c r="G10" s="194" t="n">
        <x:f>IFERROR(COUNTIFS('03 Kế hoạch tuần'!$A$5:$A$277,A10,'03 Kế hoạch tuần'!$H$5:$H$277,"Hoàn thành")/COUNTIF('03 Kế hoạch tuần'!$A$5:$A$277,A10),0)</x:f>
        <x:v>0</x:v>
      </x:c>
      <x:c r="H10" s="158" t="str"/>
      <x:c r="I10" s="158" t="str"/>
    </x:row>
  </x:sheetData>
  <x:mergeCells>
    <x:mergeCell ref="A1:I1"/>
    <x:mergeCell ref="A2:I2"/>
  </x:mergeCells>
  <x:conditionalFormatting sqref="E5:E10">
    <x:cfRule type="containsText" dxfId="30" priority="1" operator="containsText" text="Hoàn thành"/>
    <x:cfRule type="containsText" dxfId="31" priority="2" operator="containsText" text="Đạt"/>
    <x:cfRule type="containsText" dxfId="32" priority="3" operator="containsText" text="Đang làm"/>
    <x:cfRule type="containsText" dxfId="33" priority="4" operator="containsText" text="Cần bổ sung"/>
    <x:cfRule type="containsText" dxfId="34" priority="5" operator="containsText" text="Không đạt"/>
  </x:conditionalFormatting>
  <x:conditionalFormatting sqref="G5:G10">
    <x:cfRule type="dataBar" priority="6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{4CDB25BC-F024-CF12-9C77-986B71CA2A72}</x14:id>
        </x:ext>
      </x:extLst>
    </x:cfRule>
  </x:conditionalFormatting>
  <x:dataValidations count="1">
    <x:dataValidation type="list" sqref="E5:E10">
      <x:formula1>"Chưa bắt đầu,Đang làm,Hoàn thành,Bị chặn"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4CDB25BC-F024-CF12-9C77-986B71CA2A72}">
            <x14:dataBar gradient="1">
              <x14:cfvo type="min"/>
              <x14:cfvo type="max"/>
              <x14:fillColor rgb="FF2563EB"/>
            </x14:dataBar>
          </x14:cfRule>
          <xm:sqref>G5:G10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22" hidden="0" customWidth="1"/>
    <x:col min="4" max="4" width="38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28" hidden="0" customWidth="1"/>
    <x:col min="10" max="10" width="40" hidden="0" customWidth="1"/>
  </x:cols>
  <x:sheetData>
    <x:row r="1">
      <x:c r="A1" s="246" t="str">
        <x:v>TRÌNH THEO DÕI PHỎNG VẤN</x:v>
      </x:c>
      <x:c r="B1" s="200"/>
      <x:c r="C1" s="200"/>
      <x:c r="D1" s="200"/>
      <x:c r="E1" s="200"/>
      <x:c r="F1" s="200"/>
      <x:c r="G1" s="200"/>
      <x:c r="H1" s="200"/>
      <x:c r="I1" s="200"/>
      <x:c r="J1" s="200"/>
    </x:row>
    <x:row r="2">
      <x:c r="A2" s="149" t="str">
        <x:v>Theo dõi thiết kế hệ thống, thuật toán, SQL, Java trực tiếp và phỏng vấn hành vi bằng tiếng Anh</x:v>
      </x:c>
      <x:c r="B2" s="202"/>
      <x:c r="C2" s="202"/>
      <x:c r="D2" s="202"/>
      <x:c r="E2" s="202"/>
      <x:c r="F2" s="202"/>
      <x:c r="G2" s="202"/>
      <x:c r="H2" s="202"/>
      <x:c r="I2" s="202"/>
      <x:c r="J2" s="202"/>
    </x:row>
    <x:row r="3">
      <x:c r="A3" s="205"/>
      <x:c r="B3" s="205"/>
      <x:c r="C3" s="205"/>
      <x:c r="D3" s="205"/>
      <x:c r="E3" s="205"/>
      <x:c r="F3" s="205"/>
      <x:c r="G3" s="205"/>
      <x:c r="H3" s="205"/>
      <x:c r="I3" s="205"/>
      <x:c r="J3" s="205"/>
    </x:row>
    <x:row r="4">
      <x:c r="A4" s="203" t="str">
        <x:v>Mã</x:v>
      </x:c>
      <x:c r="B4" s="206" t="str">
        <x:v>Tuần</x:v>
      </x:c>
      <x:c r="C4" s="206" t="str">
        <x:v>Nhóm</x:v>
      </x:c>
      <x:c r="D4" s="206" t="str">
        <x:v>Bài luyện</x:v>
      </x:c>
      <x:c r="E4" s="206" t="str">
        <x:v>Thời lượng mục tiêu</x:v>
      </x:c>
      <x:c r="F4" s="206" t="str">
        <x:v>Điểm mục tiêu</x:v>
      </x:c>
      <x:c r="G4" s="206" t="str">
        <x:v>Điểm thực tế</x:v>
      </x:c>
      <x:c r="H4" s="206" t="str">
        <x:v>Trạng thái</x:v>
      </x:c>
      <x:c r="I4" s="206" t="str">
        <x:v>Bằng chứng/URL</x:v>
      </x:c>
      <x:c r="J4" s="204" t="str">
        <x:v>Phản hồi chính</x:v>
      </x:c>
    </x:row>
    <x:row r="5" ht="42" customHeight="1">
      <x:c r="A5" s="155" t="str">
        <x:v>I01</x:v>
      </x:c>
      <x:c r="B5" s="155" t="n">
        <x:v>33</x:v>
      </x:c>
      <x:c r="C5" s="155" t="str">
        <x:v>Thiết kế hệ thống</x:v>
      </x:c>
      <x:c r="D5" s="155" t="str">
        <x:v>Hệ thống chuyển tiền</x:v>
      </x:c>
      <x:c r="E5" s="243" t="n">
        <x:v>60</x:v>
      </x:c>
      <x:c r="F5" s="243" t="n">
        <x:v>80</x:v>
      </x:c>
      <x:c r="G5" s="243" t="str"/>
      <x:c r="H5" s="155" t="str">
        <x:v>Chưa bắt đầu</x:v>
      </x:c>
      <x:c r="I5" s="155" t="str"/>
      <x:c r="J5" s="155" t="str"/>
    </x:row>
    <x:row r="6" ht="42" customHeight="1">
      <x:c r="A6" s="158" t="str">
        <x:v>I02</x:v>
      </x:c>
      <x:c r="B6" s="158" t="n">
        <x:v>33</x:v>
      </x:c>
      <x:c r="C6" s="158" t="str">
        <x:v>Thiết kế hệ thống</x:v>
      </x:c>
      <x:c r="D6" s="158" t="str">
        <x:v>Sổ cái giao dịch</x:v>
      </x:c>
      <x:c r="E6" s="195" t="n">
        <x:v>60</x:v>
      </x:c>
      <x:c r="F6" s="195" t="n">
        <x:v>80</x:v>
      </x:c>
      <x:c r="G6" s="195" t="str"/>
      <x:c r="H6" s="158" t="str">
        <x:v>Chưa bắt đầu</x:v>
      </x:c>
      <x:c r="I6" s="158" t="str"/>
      <x:c r="J6" s="158" t="str"/>
    </x:row>
    <x:row r="7" ht="42" customHeight="1">
      <x:c r="A7" s="158" t="str">
        <x:v>I03</x:v>
      </x:c>
      <x:c r="B7" s="158" t="n">
        <x:v>33</x:v>
      </x:c>
      <x:c r="C7" s="158" t="str">
        <x:v>Thiết kế hệ thống</x:v>
      </x:c>
      <x:c r="D7" s="158" t="str">
        <x:v>Hệ thống đối soát</x:v>
      </x:c>
      <x:c r="E7" s="195" t="n">
        <x:v>60</x:v>
      </x:c>
      <x:c r="F7" s="195" t="n">
        <x:v>80</x:v>
      </x:c>
      <x:c r="G7" s="195" t="str"/>
      <x:c r="H7" s="158" t="str">
        <x:v>Chưa bắt đầu</x:v>
      </x:c>
      <x:c r="I7" s="158" t="str"/>
      <x:c r="J7" s="158" t="str"/>
    </x:row>
    <x:row r="8" ht="42" customHeight="1">
      <x:c r="A8" s="158" t="str">
        <x:v>I04</x:v>
      </x:c>
      <x:c r="B8" s="158" t="n">
        <x:v>34</x:v>
      </x:c>
      <x:c r="C8" s="158" t="str">
        <x:v>Thiết kế hệ thống</x:v>
      </x:c>
      <x:c r="D8" s="158" t="str">
        <x:v>Dữ liệu thị trường</x:v>
      </x:c>
      <x:c r="E8" s="195" t="n">
        <x:v>60</x:v>
      </x:c>
      <x:c r="F8" s="195" t="n">
        <x:v>80</x:v>
      </x:c>
      <x:c r="G8" s="195" t="str"/>
      <x:c r="H8" s="158" t="str">
        <x:v>Chưa bắt đầu</x:v>
      </x:c>
      <x:c r="I8" s="158" t="str"/>
      <x:c r="J8" s="158" t="str"/>
    </x:row>
    <x:row r="9" ht="42" customHeight="1">
      <x:c r="A9" s="158" t="str">
        <x:v>I05</x:v>
      </x:c>
      <x:c r="B9" s="158" t="n">
        <x:v>34</x:v>
      </x:c>
      <x:c r="C9" s="158" t="str">
        <x:v>Thiết kế hệ thống</x:v>
      </x:c>
      <x:c r="D9" s="158" t="str">
        <x:v>Thông báo đa kênh</x:v>
      </x:c>
      <x:c r="E9" s="195" t="n">
        <x:v>60</x:v>
      </x:c>
      <x:c r="F9" s="195" t="n">
        <x:v>80</x:v>
      </x:c>
      <x:c r="G9" s="195" t="str"/>
      <x:c r="H9" s="158" t="str">
        <x:v>Chưa bắt đầu</x:v>
      </x:c>
      <x:c r="I9" s="158" t="str"/>
      <x:c r="J9" s="158" t="str"/>
    </x:row>
    <x:row r="10" ht="42" customHeight="1">
      <x:c r="A10" s="158" t="str">
        <x:v>I06</x:v>
      </x:c>
      <x:c r="B10" s="158" t="n">
        <x:v>34</x:v>
      </x:c>
      <x:c r="C10" s="158" t="str">
        <x:v>Thiết kế hệ thống</x:v>
      </x:c>
      <x:c r="D10" s="158" t="str">
        <x:v>Rate limiter phân tán</x:v>
      </x:c>
      <x:c r="E10" s="195" t="n">
        <x:v>45</x:v>
      </x:c>
      <x:c r="F10" s="195" t="n">
        <x:v>80</x:v>
      </x:c>
      <x:c r="G10" s="195" t="str"/>
      <x:c r="H10" s="158" t="str">
        <x:v>Chưa bắt đầu</x:v>
      </x:c>
      <x:c r="I10" s="158" t="str"/>
      <x:c r="J10" s="158" t="str"/>
    </x:row>
    <x:row r="11" ht="42" customHeight="1">
      <x:c r="A11" s="158" t="str">
        <x:v>I07</x:v>
      </x:c>
      <x:c r="B11" s="158" t="n">
        <x:v>35</x:v>
      </x:c>
      <x:c r="C11" s="158" t="str">
        <x:v>Thuật toán</x:v>
      </x:c>
      <x:c r="D11" s="158" t="str">
        <x:v>12 bài mức trung bình</x:v>
      </x:c>
      <x:c r="E11" s="195" t="n">
        <x:v>480</x:v>
      </x:c>
      <x:c r="F11" s="195" t="n">
        <x:v>80</x:v>
      </x:c>
      <x:c r="G11" s="195" t="str"/>
      <x:c r="H11" s="158" t="str">
        <x:v>Chưa bắt đầu</x:v>
      </x:c>
      <x:c r="I11" s="158" t="str"/>
      <x:c r="J11" s="158" t="str"/>
    </x:row>
    <x:row r="12" ht="42" customHeight="1">
      <x:c r="A12" s="158" t="str">
        <x:v>I08</x:v>
      </x:c>
      <x:c r="B12" s="158" t="n">
        <x:v>35</x:v>
      </x:c>
      <x:c r="C12" s="158" t="str">
        <x:v>SQL</x:v>
      </x:c>
      <x:c r="D12" s="158" t="str">
        <x:v>4 bài SQL và tối ưu</x:v>
      </x:c>
      <x:c r="E12" s="195" t="n">
        <x:v>180</x:v>
      </x:c>
      <x:c r="F12" s="195" t="n">
        <x:v>80</x:v>
      </x:c>
      <x:c r="G12" s="195" t="str"/>
      <x:c r="H12" s="158" t="str">
        <x:v>Chưa bắt đầu</x:v>
      </x:c>
      <x:c r="I12" s="158" t="str"/>
      <x:c r="J12" s="158" t="str"/>
    </x:row>
    <x:row r="13" ht="42" customHeight="1">
      <x:c r="A13" s="158" t="str">
        <x:v>I09</x:v>
      </x:c>
      <x:c r="B13" s="158" t="n">
        <x:v>35</x:v>
      </x:c>
      <x:c r="C13" s="158" t="str">
        <x:v>Java trực tiếp</x:v>
      </x:c>
      <x:c r="D13" s="158" t="str">
        <x:v>Phiên live coding 1</x:v>
      </x:c>
      <x:c r="E13" s="195" t="n">
        <x:v>60</x:v>
      </x:c>
      <x:c r="F13" s="195" t="n">
        <x:v>80</x:v>
      </x:c>
      <x:c r="G13" s="195" t="str"/>
      <x:c r="H13" s="158" t="str">
        <x:v>Chưa bắt đầu</x:v>
      </x:c>
      <x:c r="I13" s="158" t="str"/>
      <x:c r="J13" s="158" t="str"/>
    </x:row>
    <x:row r="14" ht="42" customHeight="1">
      <x:c r="A14" s="158" t="str">
        <x:v>I10</x:v>
      </x:c>
      <x:c r="B14" s="158" t="n">
        <x:v>35</x:v>
      </x:c>
      <x:c r="C14" s="158" t="str">
        <x:v>Java trực tiếp</x:v>
      </x:c>
      <x:c r="D14" s="158" t="str">
        <x:v>Phiên live coding 2</x:v>
      </x:c>
      <x:c r="E14" s="195" t="n">
        <x:v>60</x:v>
      </x:c>
      <x:c r="F14" s="195" t="n">
        <x:v>80</x:v>
      </x:c>
      <x:c r="G14" s="195" t="str"/>
      <x:c r="H14" s="158" t="str">
        <x:v>Chưa bắt đầu</x:v>
      </x:c>
      <x:c r="I14" s="158" t="str"/>
      <x:c r="J14" s="158" t="str"/>
    </x:row>
    <x:row r="15" ht="42" customHeight="1">
      <x:c r="A15" s="158" t="str">
        <x:v>I11</x:v>
      </x:c>
      <x:c r="B15" s="158" t="n">
        <x:v>36</x:v>
      </x:c>
      <x:c r="C15" s="158" t="str">
        <x:v>Hành vi tiếng Anh</x:v>
      </x:c>
      <x:c r="D15" s="158" t="str">
        <x:v>Ownership và quyết định khó</x:v>
      </x:c>
      <x:c r="E15" s="195" t="n">
        <x:v>45</x:v>
      </x:c>
      <x:c r="F15" s="195" t="n">
        <x:v>80</x:v>
      </x:c>
      <x:c r="G15" s="195" t="str"/>
      <x:c r="H15" s="158" t="str">
        <x:v>Chưa bắt đầu</x:v>
      </x:c>
      <x:c r="I15" s="158" t="str"/>
      <x:c r="J15" s="158" t="str"/>
    </x:row>
    <x:row r="16" ht="42" customHeight="1">
      <x:c r="A16" s="158" t="str">
        <x:v>I12</x:v>
      </x:c>
      <x:c r="B16" s="158" t="n">
        <x:v>36</x:v>
      </x:c>
      <x:c r="C16" s="158" t="str">
        <x:v>Hành vi tiếng Anh</x:v>
      </x:c>
      <x:c r="D16" s="158" t="str">
        <x:v>Sự cố và xung đột kỹ thuật</x:v>
      </x:c>
      <x:c r="E16" s="195" t="n">
        <x:v>45</x:v>
      </x:c>
      <x:c r="F16" s="195" t="n">
        <x:v>80</x:v>
      </x:c>
      <x:c r="G16" s="195" t="str"/>
      <x:c r="H16" s="158" t="str">
        <x:v>Chưa bắt đầu</x:v>
      </x:c>
      <x:c r="I16" s="158" t="str"/>
      <x:c r="J16" s="158" t="str"/>
    </x:row>
    <x:row r="17" ht="42" customHeight="1">
      <x:c r="A17" s="158" t="str">
        <x:v>I13</x:v>
      </x:c>
      <x:c r="B17" s="158" t="n">
        <x:v>36</x:v>
      </x:c>
      <x:c r="C17" s="158" t="str">
        <x:v>Hành vi tiếng Anh</x:v>
      </x:c>
      <x:c r="D17" s="158" t="str">
        <x:v>Ước lượng và code review</x:v>
      </x:c>
      <x:c r="E17" s="195" t="n">
        <x:v>45</x:v>
      </x:c>
      <x:c r="F17" s="195" t="n">
        <x:v>80</x:v>
      </x:c>
      <x:c r="G17" s="195" t="str"/>
      <x:c r="H17" s="158" t="str">
        <x:v>Chưa bắt đầu</x:v>
      </x:c>
      <x:c r="I17" s="158" t="str"/>
      <x:c r="J17" s="158" t="str"/>
    </x:row>
    <x:row r="18" ht="42" customHeight="1">
      <x:c r="A18" s="158" t="str">
        <x:v>I14</x:v>
      </x:c>
      <x:c r="B18" s="158" t="n">
        <x:v>38</x:v>
      </x:c>
      <x:c r="C18" s="158" t="str">
        <x:v>Phỏng vấn giả lập</x:v>
      </x:c>
      <x:c r="D18" s="158" t="str">
        <x:v>Vòng Java/Spring/Database</x:v>
      </x:c>
      <x:c r="E18" s="195" t="n">
        <x:v>75</x:v>
      </x:c>
      <x:c r="F18" s="195" t="n">
        <x:v>80</x:v>
      </x:c>
      <x:c r="G18" s="195" t="str"/>
      <x:c r="H18" s="158" t="str">
        <x:v>Chưa bắt đầu</x:v>
      </x:c>
      <x:c r="I18" s="158" t="str"/>
      <x:c r="J18" s="158" t="str"/>
    </x:row>
    <x:row r="19" ht="42" customHeight="1">
      <x:c r="A19" s="158" t="str">
        <x:v>I15</x:v>
      </x:c>
      <x:c r="B19" s="158" t="n">
        <x:v>38</x:v>
      </x:c>
      <x:c r="C19" s="158" t="str">
        <x:v>Phỏng vấn giả lập</x:v>
      </x:c>
      <x:c r="D19" s="158" t="str">
        <x:v>Vòng thiết kế hệ thống</x:v>
      </x:c>
      <x:c r="E19" s="195" t="n">
        <x:v>60</x:v>
      </x:c>
      <x:c r="F19" s="195" t="n">
        <x:v>80</x:v>
      </x:c>
      <x:c r="G19" s="195" t="str"/>
      <x:c r="H19" s="158" t="str">
        <x:v>Chưa bắt đầu</x:v>
      </x:c>
      <x:c r="I19" s="158" t="str"/>
      <x:c r="J19" s="158" t="str"/>
    </x:row>
    <x:row r="20" ht="42" customHeight="1">
      <x:c r="A20" s="158" t="str">
        <x:v>I16</x:v>
      </x:c>
      <x:c r="B20" s="158" t="n">
        <x:v>38</x:v>
      </x:c>
      <x:c r="C20" s="158" t="str">
        <x:v>Phỏng vấn giả lập</x:v>
      </x:c>
      <x:c r="D20" s="158" t="str">
        <x:v>Vòng hành vi bằng tiếng Anh</x:v>
      </x:c>
      <x:c r="E20" s="195" t="n">
        <x:v>45</x:v>
      </x:c>
      <x:c r="F20" s="195" t="n">
        <x:v>80</x:v>
      </x:c>
      <x:c r="G20" s="195" t="str"/>
      <x:c r="H20" s="158" t="str">
        <x:v>Chưa bắt đầu</x:v>
      </x:c>
      <x:c r="I20" s="158" t="str"/>
      <x:c r="J20" s="158" t="str"/>
    </x:row>
  </x:sheetData>
  <x:mergeCells>
    <x:mergeCell ref="A1:J1"/>
    <x:mergeCell ref="A2:J2"/>
  </x:mergeCells>
  <x:conditionalFormatting sqref="H5:H20">
    <x:cfRule type="containsText" dxfId="35" priority="1" operator="containsText" text="Hoàn thành"/>
    <x:cfRule type="containsText" dxfId="36" priority="2" operator="containsText" text="Đạt"/>
    <x:cfRule type="containsText" dxfId="37" priority="3" operator="containsText" text="Đang làm"/>
    <x:cfRule type="containsText" dxfId="38" priority="4" operator="containsText" text="Cần bổ sung"/>
    <x:cfRule type="containsText" dxfId="39" priority="5" operator="containsText" text="Không đạt"/>
  </x:conditionalFormatting>
  <x:conditionalFormatting sqref="G5:G20">
    <x:cfRule type="colorScale" priority="6">
      <x:colorScale>
        <x:cfvo type="min"/>
        <x:cfvo type="percentile" val="50"/>
        <x:cfvo type="max"/>
        <x:color rgb="FFDC2626"/>
        <x:color rgb="FFD97706"/>
        <x:color rgb="FF16A34A"/>
      </x:colorScale>
    </x:cfRule>
  </x:conditionalFormatting>
  <x:dataValidations count="2">
    <x:dataValidation type="whole" operator="between" sqref="G5:G20">
      <x:formula1>0</x:formula1>
      <x:formula2>100</x:formula2>
    </x:dataValidation>
    <x:dataValidation type="list" sqref="H5:H20">
      <x:formula1>"Chưa bắt đầu,Đang làm,Hoàn thành,Cần làm lại"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70" hidden="0" customWidth="1"/>
    <x:col min="5" max="5" width="22" hidden="0" customWidth="1"/>
    <x:col min="6" max="6" width="12" hidden="0" customWidth="1"/>
    <x:col min="7" max="7" width="16" hidden="0" customWidth="1"/>
    <x:col min="8" max="8" width="32" hidden="0" customWidth="1"/>
  </x:cols>
  <x:sheetData>
    <x:row r="1">
      <x:c r="A1" s="246" t="str">
        <x:v>THƯ VIỆN TÀI LIỆU</x:v>
      </x:c>
      <x:c r="B1" s="200"/>
      <x:c r="C1" s="200"/>
      <x:c r="D1" s="200"/>
      <x:c r="E1" s="200"/>
      <x:c r="F1" s="200"/>
      <x:c r="G1" s="200"/>
      <x:c r="H1" s="200"/>
    </x:row>
    <x:row r="2">
      <x:c r="A2" s="149" t="str">
        <x:v>Ưu tiên nguồn chính thức; mã tài liệu được tham chiếu tại kế hoạch hằng tuần</x:v>
      </x:c>
      <x:c r="B2" s="202"/>
      <x:c r="C2" s="202"/>
      <x:c r="D2" s="202"/>
      <x:c r="E2" s="202"/>
      <x:c r="F2" s="202"/>
      <x:c r="G2" s="202"/>
      <x:c r="H2" s="202"/>
    </x:row>
    <x:row r="3">
      <x:c r="A3" s="205"/>
      <x:c r="B3" s="205"/>
      <x:c r="C3" s="205"/>
      <x:c r="D3" s="205"/>
      <x:c r="E3" s="205"/>
      <x:c r="F3" s="205"/>
      <x:c r="G3" s="205"/>
      <x:c r="H3" s="205"/>
    </x:row>
    <x:row r="4">
      <x:c r="A4" s="203" t="str">
        <x:v>Mã</x:v>
      </x:c>
      <x:c r="B4" s="206" t="str">
        <x:v>Tên tài liệu</x:v>
      </x:c>
      <x:c r="C4" s="206" t="str">
        <x:v>Đơn vị</x:v>
      </x:c>
      <x:c r="D4" s="206" t="str">
        <x:v>URL</x:v>
      </x:c>
      <x:c r="E4" s="206" t="str">
        <x:v>Nhóm</x:v>
      </x:c>
      <x:c r="F4" s="206" t="str">
        <x:v>Ưu tiên</x:v>
      </x:c>
      <x:c r="G4" s="206" t="str">
        <x:v>Trạng thái</x:v>
      </x:c>
      <x:c r="H4" s="204" t="str">
        <x:v>Ghi chú</x:v>
      </x:c>
    </x:row>
    <x:row r="5" ht="34" customHeight="1">
      <x:c r="A5" s="155" t="str">
        <x:v>R01</x:v>
      </x:c>
      <x:c r="B5" s="155" t="str">
        <x:v>Java hiện đại</x:v>
      </x:c>
      <x:c r="C5" s="155" t="str">
        <x:v>dev.java</x:v>
      </x:c>
      <x:c r="D5" s="155" t="str">
        <x:v>https://dev.java/learn/</x:v>
      </x:c>
      <x:c r="E5" s="155" t="str">
        <x:v>Java</x:v>
      </x:c>
      <x:c r="F5" s="155" t="str">
        <x:v>Chính</x:v>
      </x:c>
      <x:c r="G5" s="155" t="str">
        <x:v>Chưa đọc</x:v>
      </x:c>
      <x:c r="H5" s="155" t="str"/>
    </x:row>
    <x:row r="6" ht="34" customHeight="1">
      <x:c r="A6" s="158" t="str">
        <x:v>R02</x:v>
      </x:c>
      <x:c r="B6" s="158" t="str">
        <x:v>Tài liệu Java SE 21</x:v>
      </x:c>
      <x:c r="C6" s="158" t="str">
        <x:v>Oracle</x:v>
      </x:c>
      <x:c r="D6" s="158" t="str">
        <x:v>https://docs.oracle.com/en/java/javase/21/</x:v>
      </x:c>
      <x:c r="E6" s="158" t="str">
        <x:v>Java</x:v>
      </x:c>
      <x:c r="F6" s="158" t="str">
        <x:v>Chính</x:v>
      </x:c>
      <x:c r="G6" s="158" t="str">
        <x:v>Chưa đọc</x:v>
      </x:c>
      <x:c r="H6" s="158" t="str"/>
    </x:row>
    <x:row r="7" ht="34" customHeight="1">
      <x:c r="A7" s="158" t="str">
        <x:v>R03</x:v>
      </x:c>
      <x:c r="B7" s="158" t="str">
        <x:v>Java Flight Recorder</x:v>
      </x:c>
      <x:c r="C7" s="158" t="str">
        <x:v>Oracle</x:v>
      </x:c>
      <x:c r="D7" s="158" t="str">
        <x:v>https://docs.oracle.com/en/java/javase/21/jfapi/</x:v>
      </x:c>
      <x:c r="E7" s="158" t="str">
        <x:v>JVM</x:v>
      </x:c>
      <x:c r="F7" s="158" t="str">
        <x:v>Chính</x:v>
      </x:c>
      <x:c r="G7" s="158" t="str">
        <x:v>Chưa đọc</x:v>
      </x:c>
      <x:c r="H7" s="158" t="str"/>
    </x:row>
    <x:row r="8" ht="34" customHeight="1">
      <x:c r="A8" s="158" t="str">
        <x:v>R04</x:v>
      </x:c>
      <x:c r="B8" s="158" t="str">
        <x:v>Spring Boot Reference</x:v>
      </x:c>
      <x:c r="C8" s="158" t="str">
        <x:v>Spring</x:v>
      </x:c>
      <x:c r="D8" s="158" t="str">
        <x:v>https://docs.spring.io/spring-boot/reference/</x:v>
      </x:c>
      <x:c r="E8" s="158" t="str">
        <x:v>Spring</x:v>
      </x:c>
      <x:c r="F8" s="158" t="str">
        <x:v>Chính</x:v>
      </x:c>
      <x:c r="G8" s="158" t="str">
        <x:v>Chưa đọc</x:v>
      </x:c>
      <x:c r="H8" s="158" t="str"/>
    </x:row>
    <x:row r="9" ht="34" customHeight="1">
      <x:c r="A9" s="158" t="str">
        <x:v>R05</x:v>
      </x:c>
      <x:c r="B9" s="158" t="str">
        <x:v>Spring Web MVC</x:v>
      </x:c>
      <x:c r="C9" s="158" t="str">
        <x:v>Spring</x:v>
      </x:c>
      <x:c r="D9" s="158" t="str">
        <x:v>https://docs.spring.io/spring-framework/reference/web/webmvc.html</x:v>
      </x:c>
      <x:c r="E9" s="158" t="str">
        <x:v>API</x:v>
      </x:c>
      <x:c r="F9" s="158" t="str">
        <x:v>Chính</x:v>
      </x:c>
      <x:c r="G9" s="158" t="str">
        <x:v>Chưa đọc</x:v>
      </x:c>
      <x:c r="H9" s="158" t="str"/>
    </x:row>
    <x:row r="10" ht="34" customHeight="1">
      <x:c r="A10" s="158" t="str">
        <x:v>R06</x:v>
      </x:c>
      <x:c r="B10" s="158" t="str">
        <x:v>Spring Data JPA</x:v>
      </x:c>
      <x:c r="C10" s="158" t="str">
        <x:v>Spring</x:v>
      </x:c>
      <x:c r="D10" s="158" t="str">
        <x:v>https://docs.spring.io/spring-data/jpa/reference/</x:v>
      </x:c>
      <x:c r="E10" s="158" t="str">
        <x:v>Dữ liệu</x:v>
      </x:c>
      <x:c r="F10" s="158" t="str">
        <x:v>Chính</x:v>
      </x:c>
      <x:c r="G10" s="158" t="str">
        <x:v>Chưa đọc</x:v>
      </x:c>
      <x:c r="H10" s="158" t="str"/>
    </x:row>
    <x:row r="11" ht="34" customHeight="1">
      <x:c r="A11" s="158" t="str">
        <x:v>R07</x:v>
      </x:c>
      <x:c r="B11" s="158" t="str">
        <x:v>PostgreSQL Documentation</x:v>
      </x:c>
      <x:c r="C11" s="158" t="str">
        <x:v>PostgreSQL</x:v>
      </x:c>
      <x:c r="D11" s="158" t="str">
        <x:v>https://www.postgresql.org/docs/current/</x:v>
      </x:c>
      <x:c r="E11" s="158" t="str">
        <x:v>Dữ liệu</x:v>
      </x:c>
      <x:c r="F11" s="158" t="str">
        <x:v>Chính</x:v>
      </x:c>
      <x:c r="G11" s="158" t="str">
        <x:v>Chưa đọc</x:v>
      </x:c>
      <x:c r="H11" s="158" t="str"/>
    </x:row>
    <x:row r="12" ht="34" customHeight="1">
      <x:c r="A12" s="158" t="str">
        <x:v>R08</x:v>
      </x:c>
      <x:c r="B12" s="158" t="str">
        <x:v>PostgreSQL EXPLAIN</x:v>
      </x:c>
      <x:c r="C12" s="158" t="str">
        <x:v>PostgreSQL</x:v>
      </x:c>
      <x:c r="D12" s="158" t="str">
        <x:v>https://www.postgresql.org/docs/current/using-explain.html</x:v>
      </x:c>
      <x:c r="E12" s="158" t="str">
        <x:v>Dữ liệu</x:v>
      </x:c>
      <x:c r="F12" s="158" t="str">
        <x:v>Chính</x:v>
      </x:c>
      <x:c r="G12" s="158" t="str">
        <x:v>Chưa đọc</x:v>
      </x:c>
      <x:c r="H12" s="158" t="str"/>
    </x:row>
    <x:row r="13" ht="34" customHeight="1">
      <x:c r="A13" s="158" t="str">
        <x:v>R09</x:v>
      </x:c>
      <x:c r="B13" s="158" t="str">
        <x:v>JUnit 5 User Guide</x:v>
      </x:c>
      <x:c r="C13" s="158" t="str">
        <x:v>JUnit</x:v>
      </x:c>
      <x:c r="D13" s="158" t="str">
        <x:v>https://junit.org/junit5/docs/current/user-guide/</x:v>
      </x:c>
      <x:c r="E13" s="158" t="str">
        <x:v>Kiểm thử</x:v>
      </x:c>
      <x:c r="F13" s="158" t="str">
        <x:v>Chính</x:v>
      </x:c>
      <x:c r="G13" s="158" t="str">
        <x:v>Chưa đọc</x:v>
      </x:c>
      <x:c r="H13" s="158" t="str"/>
    </x:row>
    <x:row r="14" ht="34" customHeight="1">
      <x:c r="A14" s="158" t="str">
        <x:v>R10</x:v>
      </x:c>
      <x:c r="B14" s="158" t="str">
        <x:v>Testcontainers for Java</x:v>
      </x:c>
      <x:c r="C14" s="158" t="str">
        <x:v>Testcontainers</x:v>
      </x:c>
      <x:c r="D14" s="158" t="str">
        <x:v>https://java.testcontainers.org/</x:v>
      </x:c>
      <x:c r="E14" s="158" t="str">
        <x:v>Kiểm thử</x:v>
      </x:c>
      <x:c r="F14" s="158" t="str">
        <x:v>Chính</x:v>
      </x:c>
      <x:c r="G14" s="158" t="str">
        <x:v>Chưa đọc</x:v>
      </x:c>
      <x:c r="H14" s="158" t="str"/>
    </x:row>
    <x:row r="15" ht="34" customHeight="1">
      <x:c r="A15" s="158" t="str">
        <x:v>R11</x:v>
      </x:c>
      <x:c r="B15" s="158" t="str">
        <x:v>Spring Security Reference</x:v>
      </x:c>
      <x:c r="C15" s="158" t="str">
        <x:v>Spring</x:v>
      </x:c>
      <x:c r="D15" s="158" t="str">
        <x:v>https://docs.spring.io/spring-security/reference/</x:v>
      </x:c>
      <x:c r="E15" s="158" t="str">
        <x:v>Bảo mật</x:v>
      </x:c>
      <x:c r="F15" s="158" t="str">
        <x:v>Chính</x:v>
      </x:c>
      <x:c r="G15" s="158" t="str">
        <x:v>Chưa đọc</x:v>
      </x:c>
      <x:c r="H15" s="158" t="str"/>
    </x:row>
    <x:row r="16" ht="34" customHeight="1">
      <x:c r="A16" s="158" t="str">
        <x:v>R12</x:v>
      </x:c>
      <x:c r="B16" s="158" t="str">
        <x:v>OAuth 2.0 RFC 6749</x:v>
      </x:c>
      <x:c r="C16" s="158" t="str">
        <x:v>IETF</x:v>
      </x:c>
      <x:c r="D16" s="158" t="str">
        <x:v>https://datatracker.ietf.org/doc/html/rfc6749</x:v>
      </x:c>
      <x:c r="E16" s="158" t="str">
        <x:v>Bảo mật</x:v>
      </x:c>
      <x:c r="F16" s="158" t="str">
        <x:v>Chính</x:v>
      </x:c>
      <x:c r="G16" s="158" t="str">
        <x:v>Chưa đọc</x:v>
      </x:c>
      <x:c r="H16" s="158" t="str"/>
    </x:row>
    <x:row r="17" ht="34" customHeight="1">
      <x:c r="A17" s="158" t="str">
        <x:v>R13</x:v>
      </x:c>
      <x:c r="B17" s="158" t="str">
        <x:v>OWASP ASVS</x:v>
      </x:c>
      <x:c r="C17" s="158" t="str">
        <x:v>OWASP</x:v>
      </x:c>
      <x:c r="D17" s="158" t="str">
        <x:v>https://owasp.org/www-project-application-security-verification-standard/</x:v>
      </x:c>
      <x:c r="E17" s="158" t="str">
        <x:v>Bảo mật</x:v>
      </x:c>
      <x:c r="F17" s="158" t="str">
        <x:v>Chính</x:v>
      </x:c>
      <x:c r="G17" s="158" t="str">
        <x:v>Chưa đọc</x:v>
      </x:c>
      <x:c r="H17" s="158" t="str"/>
    </x:row>
    <x:row r="18" ht="34" customHeight="1">
      <x:c r="A18" s="158" t="str">
        <x:v>R14</x:v>
      </x:c>
      <x:c r="B18" s="158" t="str">
        <x:v>Docker Get Started</x:v>
      </x:c>
      <x:c r="C18" s="158" t="str">
        <x:v>Docker</x:v>
      </x:c>
      <x:c r="D18" s="158" t="str">
        <x:v>https://docs.docker.com/get-started/</x:v>
      </x:c>
      <x:c r="E18" s="158" t="str">
        <x:v>Vận hành</x:v>
      </x:c>
      <x:c r="F18" s="158" t="str">
        <x:v>Chính</x:v>
      </x:c>
      <x:c r="G18" s="158" t="str">
        <x:v>Chưa đọc</x:v>
      </x:c>
      <x:c r="H18" s="158" t="str"/>
    </x:row>
    <x:row r="19" ht="34" customHeight="1">
      <x:c r="A19" s="158" t="str">
        <x:v>R15</x:v>
      </x:c>
      <x:c r="B19" s="158" t="str">
        <x:v>Docker Compose</x:v>
      </x:c>
      <x:c r="C19" s="158" t="str">
        <x:v>Docker</x:v>
      </x:c>
      <x:c r="D19" s="158" t="str">
        <x:v>https://docs.docker.com/compose/</x:v>
      </x:c>
      <x:c r="E19" s="158" t="str">
        <x:v>Vận hành</x:v>
      </x:c>
      <x:c r="F19" s="158" t="str">
        <x:v>Chính</x:v>
      </x:c>
      <x:c r="G19" s="158" t="str">
        <x:v>Chưa đọc</x:v>
      </x:c>
      <x:c r="H19" s="158" t="str"/>
    </x:row>
    <x:row r="20" ht="34" customHeight="1">
      <x:c r="A20" s="158" t="str">
        <x:v>R16</x:v>
      </x:c>
      <x:c r="B20" s="158" t="str">
        <x:v>GitHub Actions</x:v>
      </x:c>
      <x:c r="C20" s="158" t="str">
        <x:v>GitHub</x:v>
      </x:c>
      <x:c r="D20" s="158" t="str">
        <x:v>https://docs.github.com/en/actions</x:v>
      </x:c>
      <x:c r="E20" s="158" t="str">
        <x:v>Tích hợp liên tục</x:v>
      </x:c>
      <x:c r="F20" s="158" t="str">
        <x:v>Chính</x:v>
      </x:c>
      <x:c r="G20" s="158" t="str">
        <x:v>Chưa đọc</x:v>
      </x:c>
      <x:c r="H20" s="158" t="str"/>
    </x:row>
    <x:row r="21" ht="34" customHeight="1">
      <x:c r="A21" s="158" t="str">
        <x:v>R17</x:v>
      </x:c>
      <x:c r="B21" s="158" t="str">
        <x:v>Redis Documentation</x:v>
      </x:c>
      <x:c r="C21" s="158" t="str">
        <x:v>Redis</x:v>
      </x:c>
      <x:c r="D21" s="158" t="str">
        <x:v>https://redis.io/docs/latest/</x:v>
      </x:c>
      <x:c r="E21" s="158" t="str">
        <x:v>Hệ thống phân tán</x:v>
      </x:c>
      <x:c r="F21" s="158" t="str">
        <x:v>Chính</x:v>
      </x:c>
      <x:c r="G21" s="158" t="str">
        <x:v>Chưa đọc</x:v>
      </x:c>
      <x:c r="H21" s="158" t="str"/>
    </x:row>
    <x:row r="22" ht="34" customHeight="1">
      <x:c r="A22" s="158" t="str">
        <x:v>R18</x:v>
      </x:c>
      <x:c r="B22" s="158" t="str">
        <x:v>Redis Distributed Locks</x:v>
      </x:c>
      <x:c r="C22" s="158" t="str">
        <x:v>Redis</x:v>
      </x:c>
      <x:c r="D22" s="158" t="str">
        <x:v>https://redis.io/docs/latest/develop/clients/patterns/distributed-locks/</x:v>
      </x:c>
      <x:c r="E22" s="158" t="str">
        <x:v>Hệ thống phân tán</x:v>
      </x:c>
      <x:c r="F22" s="158" t="str">
        <x:v>Chính</x:v>
      </x:c>
      <x:c r="G22" s="158" t="str">
        <x:v>Chưa đọc</x:v>
      </x:c>
      <x:c r="H22" s="158" t="str"/>
    </x:row>
    <x:row r="23" ht="34" customHeight="1">
      <x:c r="A23" s="158" t="str">
        <x:v>R19</x:v>
      </x:c>
      <x:c r="B23" s="158" t="str">
        <x:v>Apache Kafka Documentation</x:v>
      </x:c>
      <x:c r="C23" s="158" t="str">
        <x:v>Apache</x:v>
      </x:c>
      <x:c r="D23" s="158" t="str">
        <x:v>https://kafka.apache.org/documentation/</x:v>
      </x:c>
      <x:c r="E23" s="158" t="str">
        <x:v>Hệ thống phân tán</x:v>
      </x:c>
      <x:c r="F23" s="158" t="str">
        <x:v>Chính</x:v>
      </x:c>
      <x:c r="G23" s="158" t="str">
        <x:v>Chưa đọc</x:v>
      </x:c>
      <x:c r="H23" s="158" t="str"/>
    </x:row>
    <x:row r="24" ht="34" customHeight="1">
      <x:c r="A24" s="158" t="str">
        <x:v>R20</x:v>
      </x:c>
      <x:c r="B24" s="158" t="str">
        <x:v>Spring for Apache Kafka</x:v>
      </x:c>
      <x:c r="C24" s="158" t="str">
        <x:v>Spring</x:v>
      </x:c>
      <x:c r="D24" s="158" t="str">
        <x:v>https://docs.spring.io/spring-kafka/reference/</x:v>
      </x:c>
      <x:c r="E24" s="158" t="str">
        <x:v>Hệ thống phân tán</x:v>
      </x:c>
      <x:c r="F24" s="158" t="str">
        <x:v>Chính</x:v>
      </x:c>
      <x:c r="G24" s="158" t="str">
        <x:v>Chưa đọc</x:v>
      </x:c>
      <x:c r="H24" s="158" t="str"/>
    </x:row>
    <x:row r="25" ht="34" customHeight="1">
      <x:c r="A25" s="158" t="str">
        <x:v>R21</x:v>
      </x:c>
      <x:c r="B25" s="158" t="str">
        <x:v>Resilience4j</x:v>
      </x:c>
      <x:c r="C25" s="158" t="str">
        <x:v>Resilience4j</x:v>
      </x:c>
      <x:c r="D25" s="158" t="str">
        <x:v>https://resilience4j.readme.io/docs</x:v>
      </x:c>
      <x:c r="E25" s="158" t="str">
        <x:v>Độ tin cậy</x:v>
      </x:c>
      <x:c r="F25" s="158" t="str">
        <x:v>Chính</x:v>
      </x:c>
      <x:c r="G25" s="158" t="str">
        <x:v>Chưa đọc</x:v>
      </x:c>
      <x:c r="H25" s="158" t="str"/>
    </x:row>
    <x:row r="26" ht="34" customHeight="1">
      <x:c r="A26" s="158" t="str">
        <x:v>R22</x:v>
      </x:c>
      <x:c r="B26" s="158" t="str">
        <x:v>OpenTelemetry Java</x:v>
      </x:c>
      <x:c r="C26" s="158" t="str">
        <x:v>OpenTelemetry</x:v>
      </x:c>
      <x:c r="D26" s="158" t="str">
        <x:v>https://opentelemetry.io/docs/languages/java/</x:v>
      </x:c>
      <x:c r="E26" s="158" t="str">
        <x:v>Giám sát</x:v>
      </x:c>
      <x:c r="F26" s="158" t="str">
        <x:v>Chính</x:v>
      </x:c>
      <x:c r="G26" s="158" t="str">
        <x:v>Chưa đọc</x:v>
      </x:c>
      <x:c r="H26" s="158" t="str"/>
    </x:row>
    <x:row r="27" ht="34" customHeight="1">
      <x:c r="A27" s="158" t="str">
        <x:v>R23</x:v>
      </x:c>
      <x:c r="B27" s="158" t="str">
        <x:v>Prometheus Overview</x:v>
      </x:c>
      <x:c r="C27" s="158" t="str">
        <x:v>Prometheus</x:v>
      </x:c>
      <x:c r="D27" s="158" t="str">
        <x:v>https://prometheus.io/docs/introduction/overview/</x:v>
      </x:c>
      <x:c r="E27" s="158" t="str">
        <x:v>Giám sát</x:v>
      </x:c>
      <x:c r="F27" s="158" t="str">
        <x:v>Chính</x:v>
      </x:c>
      <x:c r="G27" s="158" t="str">
        <x:v>Chưa đọc</x:v>
      </x:c>
      <x:c r="H27" s="158" t="str"/>
    </x:row>
    <x:row r="28" ht="34" customHeight="1">
      <x:c r="A28" s="158" t="str">
        <x:v>R24</x:v>
      </x:c>
      <x:c r="B28" s="158" t="str">
        <x:v>Grafana Documentation</x:v>
      </x:c>
      <x:c r="C28" s="158" t="str">
        <x:v>Grafana</x:v>
      </x:c>
      <x:c r="D28" s="158" t="str">
        <x:v>https://grafana.com/docs/grafana/latest/</x:v>
      </x:c>
      <x:c r="E28" s="158" t="str">
        <x:v>Giám sát</x:v>
      </x:c>
      <x:c r="F28" s="158" t="str">
        <x:v>Chính</x:v>
      </x:c>
      <x:c r="G28" s="158" t="str">
        <x:v>Chưa đọc</x:v>
      </x:c>
      <x:c r="H28" s="158" t="str"/>
    </x:row>
    <x:row r="29" ht="34" customHeight="1">
      <x:c r="A29" s="158" t="str">
        <x:v>R25</x:v>
      </x:c>
      <x:c r="B29" s="158" t="str">
        <x:v>K6 Documentation</x:v>
      </x:c>
      <x:c r="C29" s="158" t="str">
        <x:v>Grafana</x:v>
      </x:c>
      <x:c r="D29" s="158" t="str">
        <x:v>https://grafana.com/docs/k6/latest/</x:v>
      </x:c>
      <x:c r="E29" s="158" t="str">
        <x:v>Kiểm thử tải</x:v>
      </x:c>
      <x:c r="F29" s="158" t="str">
        <x:v>Chính</x:v>
      </x:c>
      <x:c r="G29" s="158" t="str">
        <x:v>Chưa đọc</x:v>
      </x:c>
      <x:c r="H29" s="158" t="str"/>
    </x:row>
    <x:row r="30" ht="34" customHeight="1">
      <x:c r="A30" s="158" t="str">
        <x:v>R26</x:v>
      </x:c>
      <x:c r="B30" s="158" t="str">
        <x:v>Double-entry Ledger</x:v>
      </x:c>
      <x:c r="C30" s="158" t="str">
        <x:v>Modern Treasury</x:v>
      </x:c>
      <x:c r="D30" s="158" t="str">
        <x:v>https://www.moderntreasury.com/journal/how-to-scale-a-ledger-part-ii</x:v>
      </x:c>
      <x:c r="E30" s="158" t="str">
        <x:v>Ngân hàng</x:v>
      </x:c>
      <x:c r="F30" s="158" t="str">
        <x:v>Bổ sung</x:v>
      </x:c>
      <x:c r="G30" s="158" t="str">
        <x:v>Chưa đọc</x:v>
      </x:c>
      <x:c r="H30" s="158" t="str"/>
    </x:row>
    <x:row r="31" ht="34" customHeight="1">
      <x:c r="A31" s="158" t="str">
        <x:v>R27</x:v>
      </x:c>
      <x:c r="B31" s="158" t="str">
        <x:v>Financial Accounting</x:v>
      </x:c>
      <x:c r="C31" s="158" t="str">
        <x:v>TigerBeetle</x:v>
      </x:c>
      <x:c r="D31" s="158" t="str">
        <x:v>https://docs.tigerbeetle.com/coding/financial-accounting/</x:v>
      </x:c>
      <x:c r="E31" s="158" t="str">
        <x:v>Ngân hàng</x:v>
      </x:c>
      <x:c r="F31" s="158" t="str">
        <x:v>Bổ sung</x:v>
      </x:c>
      <x:c r="G31" s="158" t="str">
        <x:v>Chưa đọc</x:v>
      </x:c>
      <x:c r="H31" s="158" t="str"/>
    </x:row>
    <x:row r="32" ht="34" customHeight="1">
      <x:c r="A32" s="158" t="str">
        <x:v>R28</x:v>
      </x:c>
      <x:c r="B32" s="158" t="str">
        <x:v>Spring WebSocket</x:v>
      </x:c>
      <x:c r="C32" s="158" t="str">
        <x:v>Spring</x:v>
      </x:c>
      <x:c r="D32" s="158" t="str">
        <x:v>https://docs.spring.io/spring-framework/reference/web/websocket.html</x:v>
      </x:c>
      <x:c r="E32" s="158" t="str">
        <x:v>Dữ liệu thị trường</x:v>
      </x:c>
      <x:c r="F32" s="158" t="str">
        <x:v>Chính</x:v>
      </x:c>
      <x:c r="G32" s="158" t="str">
        <x:v>Chưa đọc</x:v>
      </x:c>
      <x:c r="H32" s="158" t="str"/>
    </x:row>
    <x:row r="33" ht="34" customHeight="1">
      <x:c r="A33" s="158" t="str">
        <x:v>R29</x:v>
      </x:c>
      <x:c r="B33" s="158" t="str">
        <x:v>OpenAPI Specification</x:v>
      </x:c>
      <x:c r="C33" s="158" t="str">
        <x:v>OpenAPI Initiative</x:v>
      </x:c>
      <x:c r="D33" s="158" t="str">
        <x:v>https://spec.openapis.org/oas/latest.html</x:v>
      </x:c>
      <x:c r="E33" s="158" t="str">
        <x:v>API</x:v>
      </x:c>
      <x:c r="F33" s="158" t="str">
        <x:v>Chính</x:v>
      </x:c>
      <x:c r="G33" s="158" t="str">
        <x:v>Chưa đọc</x:v>
      </x:c>
      <x:c r="H33" s="158" t="str"/>
    </x:row>
    <x:row r="34" ht="34" customHeight="1">
      <x:c r="A34" s="158" t="str">
        <x:v>R30</x:v>
      </x:c>
      <x:c r="B34" s="158" t="str">
        <x:v>Spring Cloud</x:v>
      </x:c>
      <x:c r="C34" s="158" t="str">
        <x:v>Spring</x:v>
      </x:c>
      <x:c r="D34" s="158" t="str">
        <x:v>https://docs.spring.io/spring-cloud/docs/current/reference/html/</x:v>
      </x:c>
      <x:c r="E34" s="158" t="str">
        <x:v>Kiến trúc</x:v>
      </x:c>
      <x:c r="F34" s="158" t="str">
        <x:v>Chính</x:v>
      </x:c>
      <x:c r="G34" s="158" t="str">
        <x:v>Chưa đọc</x:v>
      </x:c>
      <x:c r="H34" s="158" t="str"/>
    </x:row>
    <x:row r="35" ht="34" customHeight="1">
      <x:c r="A35" s="158" t="str">
        <x:v>R31</x:v>
      </x:c>
      <x:c r="B35" s="158" t="str">
        <x:v>AWS Architecture Center</x:v>
      </x:c>
      <x:c r="C35" s="158" t="str">
        <x:v>AWS</x:v>
      </x:c>
      <x:c r="D35" s="158" t="str">
        <x:v>https://aws.amazon.com/architecture/</x:v>
      </x:c>
      <x:c r="E35" s="158" t="str">
        <x:v>Cloud</x:v>
      </x:c>
      <x:c r="F35" s="158" t="str">
        <x:v>Chính</x:v>
      </x:c>
      <x:c r="G35" s="158" t="str">
        <x:v>Chưa đọc</x:v>
      </x:c>
      <x:c r="H35" s="158" t="str"/>
    </x:row>
    <x:row r="36" ht="34" customHeight="1">
      <x:c r="A36" s="158" t="str">
        <x:v>R32</x:v>
      </x:c>
      <x:c r="B36" s="158" t="str">
        <x:v>AWS Well-Architected</x:v>
      </x:c>
      <x:c r="C36" s="158" t="str">
        <x:v>AWS</x:v>
      </x:c>
      <x:c r="D36" s="158" t="str">
        <x:v>https://docs.aws.amazon.com/wellarchitected/latest/framework/welcome.html</x:v>
      </x:c>
      <x:c r="E36" s="158" t="str">
        <x:v>Cloud</x:v>
      </x:c>
      <x:c r="F36" s="158" t="str">
        <x:v>Chính</x:v>
      </x:c>
      <x:c r="G36" s="158" t="str">
        <x:v>Chưa đọc</x:v>
      </x:c>
      <x:c r="H36" s="158" t="str"/>
    </x:row>
    <x:row r="37" ht="34" customHeight="1">
      <x:c r="A37" s="158" t="str">
        <x:v>R33</x:v>
      </x:c>
      <x:c r="B37" s="158" t="str">
        <x:v>System Design Primer</x:v>
      </x:c>
      <x:c r="C37" s="158" t="str">
        <x:v>GitHub</x:v>
      </x:c>
      <x:c r="D37" s="158" t="str">
        <x:v>https://github.com/donnemartin/system-design-primer</x:v>
      </x:c>
      <x:c r="E37" s="158" t="str">
        <x:v>Phỏng vấn</x:v>
      </x:c>
      <x:c r="F37" s="158" t="str">
        <x:v>Bổ sung</x:v>
      </x:c>
      <x:c r="G37" s="158" t="str">
        <x:v>Chưa đọc</x:v>
      </x:c>
      <x:c r="H37" s="158" t="str"/>
    </x:row>
    <x:row r="38" ht="34" customHeight="1">
      <x:c r="A38" s="158" t="str">
        <x:v>R34</x:v>
      </x:c>
      <x:c r="B38" s="158" t="str">
        <x:v>LeetCode Problemset</x:v>
      </x:c>
      <x:c r="C38" s="158" t="str">
        <x:v>LeetCode</x:v>
      </x:c>
      <x:c r="D38" s="158" t="str">
        <x:v>https://leetcode.com/problemset/</x:v>
      </x:c>
      <x:c r="E38" s="158" t="str">
        <x:v>Phỏng vấn</x:v>
      </x:c>
      <x:c r="F38" s="158" t="str">
        <x:v>Thực hành</x:v>
      </x:c>
      <x:c r="G38" s="158" t="str">
        <x:v>Chưa đọc</x:v>
      </x:c>
      <x:c r="H38" s="158" t="str"/>
    </x:row>
    <x:row r="39" ht="34" customHeight="1">
      <x:c r="A39" s="158" t="str">
        <x:v>R35</x:v>
      </x:c>
      <x:c r="B39" s="158" t="str">
        <x:v>GitHub README</x:v>
      </x:c>
      <x:c r="C39" s="158" t="str">
        <x:v>GitHub</x:v>
      </x:c>
      <x:c r="D39" s="158" t="str">
        <x:v>https://docs.github.com/en/repositories/managing-your-repositorys-settings-and-features/customizing-your-repository/about-readmes</x:v>
      </x:c>
      <x:c r="E39" s="158" t="str">
        <x:v>Hồ sơ</x:v>
      </x:c>
      <x:c r="F39" s="158" t="str">
        <x:v>Chính</x:v>
      </x:c>
      <x:c r="G39" s="158" t="str">
        <x:v>Chưa đọc</x:v>
      </x:c>
      <x:c r="H39" s="158" t="str"/>
    </x:row>
    <x:row r="40" ht="34" customHeight="1">
      <x:c r="A40" s="158" t="str">
        <x:v>R36</x:v>
      </x:c>
      <x:c r="B40" s="158" t="str">
        <x:v>Spring Boot Testing</x:v>
      </x:c>
      <x:c r="C40" s="158" t="str">
        <x:v>Spring</x:v>
      </x:c>
      <x:c r="D40" s="158" t="str">
        <x:v>https://docs.spring.io/spring-boot/reference/testing/</x:v>
      </x:c>
      <x:c r="E40" s="158" t="str">
        <x:v>Kiểm thử</x:v>
      </x:c>
      <x:c r="F40" s="158" t="str">
        <x:v>Chính</x:v>
      </x:c>
      <x:c r="G40" s="158" t="str">
        <x:v>Chưa đọc</x:v>
      </x:c>
      <x:c r="H40" s="158" t="str"/>
    </x:row>
    <x:row r="41" ht="34" customHeight="1">
      <x:c r="A41" s="158" t="str">
        <x:v>R37</x:v>
      </x:c>
      <x:c r="B41" s="158" t="str">
        <x:v>PostgreSQL Transaction Isolation</x:v>
      </x:c>
      <x:c r="C41" s="158" t="str">
        <x:v>PostgreSQL</x:v>
      </x:c>
      <x:c r="D41" s="158" t="str">
        <x:v>https://www.postgresql.org/docs/current/transaction-iso.html</x:v>
      </x:c>
      <x:c r="E41" s="158" t="str">
        <x:v>Dữ liệu</x:v>
      </x:c>
      <x:c r="F41" s="158" t="str">
        <x:v>Chính</x:v>
      </x:c>
      <x:c r="G41" s="158" t="str">
        <x:v>Chưa đọc</x:v>
      </x:c>
      <x:c r="H41" s="158" t="str"/>
    </x:row>
    <x:row r="42" ht="34" customHeight="1">
      <x:c r="A42" s="158" t="str">
        <x:v>R38</x:v>
      </x:c>
      <x:c r="B42" s="158" t="str">
        <x:v>Spring Boot Actuator</x:v>
      </x:c>
      <x:c r="C42" s="158" t="str">
        <x:v>Spring</x:v>
      </x:c>
      <x:c r="D42" s="158" t="str">
        <x:v>https://docs.spring.io/spring-boot/reference/actuator/</x:v>
      </x:c>
      <x:c r="E42" s="158" t="str">
        <x:v>Giám sát</x:v>
      </x:c>
      <x:c r="F42" s="158" t="str">
        <x:v>Chính</x:v>
      </x:c>
      <x:c r="G42" s="158" t="str">
        <x:v>Chưa đọc</x:v>
      </x:c>
      <x:c r="H42" s="158" t="str"/>
    </x:row>
  </x:sheetData>
  <x:mergeCells>
    <x:mergeCell ref="A1:H1"/>
    <x:mergeCell ref="A2:H2"/>
  </x:mergeCells>
  <x:conditionalFormatting sqref="G5:G42">
    <x:cfRule type="containsText" dxfId="40" priority="1" operator="containsText" text="Hoàn thành"/>
    <x:cfRule type="containsText" dxfId="41" priority="2" operator="containsText" text="Đạt"/>
    <x:cfRule type="containsText" dxfId="42" priority="3" operator="containsText" text="Đang làm"/>
    <x:cfRule type="containsText" dxfId="43" priority="4" operator="containsText" text="Cần bổ sung"/>
    <x:cfRule type="containsText" dxfId="44" priority="5" operator="containsText" text="Không đạt"/>
  </x:conditionalFormatting>
  <x:dataValidations count="1">
    <x:dataValidation type="list" sqref="G5:G42">
      <x:formula1>"Chưa đọc,Đang đọc,Đã đọc,Dùng để tra cứu"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0" hidden="0" customWidth="1"/>
    <x:col min="4" max="4" width="36" hidden="0" customWidth="1"/>
    <x:col min="5" max="5" width="8" hidden="0" customWidth="1"/>
    <x:col min="6" max="6" width="36" hidden="0" customWidth="1"/>
    <x:col min="7" max="7" width="34" hidden="0" customWidth="1"/>
    <x:col min="8" max="8" width="34" hidden="0" customWidth="1"/>
    <x:col min="9" max="9" width="38" hidden="0" customWidth="1"/>
    <x:col min="10" max="10" width="30" hidden="0" customWidth="1"/>
    <x:col min="11" max="11" width="12" hidden="0" customWidth="1"/>
    <x:col min="12" max="12" width="12" hidden="0" customWidth="1"/>
  </x:cols>
  <x:sheetData>
    <x:row r="1">
      <x:c r="A1" s="246" t="str">
        <x:v>NHẬT KÝ HỌC TẬP VÀ THỰC HÀNH</x:v>
      </x:c>
      <x:c r="B1" s="200"/>
      <x:c r="C1" s="200"/>
      <x:c r="D1" s="200"/>
      <x:c r="E1" s="200"/>
      <x:c r="F1" s="200"/>
      <x:c r="G1" s="200"/>
      <x:c r="H1" s="200"/>
      <x:c r="I1" s="200"/>
      <x:c r="J1" s="200"/>
      <x:c r="K1" s="200"/>
      <x:c r="L1" s="200"/>
    </x:row>
    <x:row r="2">
      <x:c r="A2" s="149" t="str">
        <x:v>Ghi sau mỗi phiên học; dữ liệu này giúp điều chỉnh tải và xác định phương pháp không hiệu quả</x:v>
      </x:c>
      <x:c r="B2" s="202"/>
      <x:c r="C2" s="202"/>
      <x:c r="D2" s="202"/>
      <x:c r="E2" s="202"/>
      <x:c r="F2" s="202"/>
      <x:c r="G2" s="202"/>
      <x:c r="H2" s="202"/>
      <x:c r="I2" s="202"/>
      <x:c r="J2" s="202"/>
      <x:c r="K2" s="202"/>
      <x:c r="L2" s="202"/>
    </x:row>
    <x:row r="3">
      <x:c r="A3" s="205"/>
      <x:c r="B3" s="205"/>
      <x:c r="C3" s="205"/>
      <x:c r="D3" s="205"/>
      <x:c r="E3" s="205"/>
      <x:c r="F3" s="205"/>
      <x:c r="G3" s="205"/>
      <x:c r="H3" s="205"/>
      <x:c r="I3" s="205"/>
      <x:c r="J3" s="205"/>
      <x:c r="K3" s="205"/>
      <x:c r="L3" s="205"/>
    </x:row>
    <x:row r="4">
      <x:c r="A4" s="203" t="str">
        <x:v>Ngày</x:v>
      </x:c>
      <x:c r="B4" s="206" t="str">
        <x:v>Tuần</x:v>
      </x:c>
      <x:c r="C4" s="206" t="str">
        <x:v>Nhóm</x:v>
      </x:c>
      <x:c r="D4" s="206" t="str">
        <x:v>Hoạt động</x:v>
      </x:c>
      <x:c r="E4" s="206" t="str">
        <x:v>Giờ</x:v>
      </x:c>
      <x:c r="F4" s="206" t="str">
        <x:v>Kết quả</x:v>
      </x:c>
      <x:c r="G4" s="206" t="str">
        <x:v>Khó khăn</x:v>
      </x:c>
      <x:c r="H4" s="206" t="str">
        <x:v>Cách xử lý</x:v>
      </x:c>
      <x:c r="I4" s="206" t="str">
        <x:v>Điều học được</x:v>
      </x:c>
      <x:c r="J4" s="206" t="str">
        <x:v>Bằng chứng/URL</x:v>
      </x:c>
      <x:c r="K4" s="206" t="str">
        <x:v>Năng lượng 1–5</x:v>
      </x:c>
      <x:c r="L4" s="204" t="str">
        <x:v>Tập trung 1–5</x:v>
      </x:c>
    </x:row>
    <x:row r="5" ht="34" customHeight="1">
      <x:c r="A5" s="241" t="str"/>
      <x:c r="B5" s="155" t="str"/>
      <x:c r="C5" s="155" t="str"/>
      <x:c r="D5" s="155" t="str"/>
      <x:c r="E5" s="155" t="str"/>
      <x:c r="F5" s="155" t="str"/>
      <x:c r="G5" s="155" t="str"/>
      <x:c r="H5" s="155" t="str"/>
      <x:c r="I5" s="155" t="str"/>
      <x:c r="J5" s="155" t="str"/>
      <x:c r="K5" s="155" t="str"/>
      <x:c r="L5" s="155" t="str"/>
    </x:row>
    <x:row r="6" ht="34" customHeight="1">
      <x:c r="A6" s="244" t="str"/>
      <x:c r="B6" s="158" t="str"/>
      <x:c r="C6" s="158" t="str"/>
      <x:c r="D6" s="158" t="str"/>
      <x:c r="E6" s="158" t="str"/>
      <x:c r="F6" s="158" t="str"/>
      <x:c r="G6" s="158" t="str"/>
      <x:c r="H6" s="158" t="str"/>
      <x:c r="I6" s="158" t="str"/>
      <x:c r="J6" s="158" t="str"/>
      <x:c r="K6" s="158" t="str"/>
      <x:c r="L6" s="158" t="str"/>
    </x:row>
    <x:row r="7" ht="34" customHeight="1">
      <x:c r="A7" s="244" t="str"/>
      <x:c r="B7" s="158" t="str"/>
      <x:c r="C7" s="158" t="str"/>
      <x:c r="D7" s="158" t="str"/>
      <x:c r="E7" s="158" t="str"/>
      <x:c r="F7" s="158" t="str"/>
      <x:c r="G7" s="158" t="str"/>
      <x:c r="H7" s="158" t="str"/>
      <x:c r="I7" s="158" t="str"/>
      <x:c r="J7" s="158" t="str"/>
      <x:c r="K7" s="158" t="str"/>
      <x:c r="L7" s="158" t="str"/>
    </x:row>
    <x:row r="8" ht="34" customHeight="1">
      <x:c r="A8" s="244" t="str"/>
      <x:c r="B8" s="158" t="str"/>
      <x:c r="C8" s="158" t="str"/>
      <x:c r="D8" s="158" t="str"/>
      <x:c r="E8" s="158" t="str"/>
      <x:c r="F8" s="158" t="str"/>
      <x:c r="G8" s="158" t="str"/>
      <x:c r="H8" s="158" t="str"/>
      <x:c r="I8" s="158" t="str"/>
      <x:c r="J8" s="158" t="str"/>
      <x:c r="K8" s="158" t="str"/>
      <x:c r="L8" s="158" t="str"/>
    </x:row>
    <x:row r="9" ht="34" customHeight="1">
      <x:c r="A9" s="244" t="str"/>
      <x:c r="B9" s="158" t="str"/>
      <x:c r="C9" s="158" t="str"/>
      <x:c r="D9" s="158" t="str"/>
      <x:c r="E9" s="158" t="str"/>
      <x:c r="F9" s="158" t="str"/>
      <x:c r="G9" s="158" t="str"/>
      <x:c r="H9" s="158" t="str"/>
      <x:c r="I9" s="158" t="str"/>
      <x:c r="J9" s="158" t="str"/>
      <x:c r="K9" s="158" t="str"/>
      <x:c r="L9" s="158" t="str"/>
    </x:row>
    <x:row r="10" ht="34" customHeight="1">
      <x:c r="A10" s="244" t="str"/>
      <x:c r="B10" s="158" t="str"/>
      <x:c r="C10" s="158" t="str"/>
      <x:c r="D10" s="158" t="str"/>
      <x:c r="E10" s="158" t="str"/>
      <x:c r="F10" s="158" t="str"/>
      <x:c r="G10" s="158" t="str"/>
      <x:c r="H10" s="158" t="str"/>
      <x:c r="I10" s="158" t="str"/>
      <x:c r="J10" s="158" t="str"/>
      <x:c r="K10" s="158" t="str"/>
      <x:c r="L10" s="158" t="str"/>
    </x:row>
    <x:row r="11" ht="34" customHeight="1">
      <x:c r="A11" s="244" t="str"/>
      <x:c r="B11" s="158" t="str"/>
      <x:c r="C11" s="158" t="str"/>
      <x:c r="D11" s="158" t="str"/>
      <x:c r="E11" s="158" t="str"/>
      <x:c r="F11" s="158" t="str"/>
      <x:c r="G11" s="158" t="str"/>
      <x:c r="H11" s="158" t="str"/>
      <x:c r="I11" s="158" t="str"/>
      <x:c r="J11" s="158" t="str"/>
      <x:c r="K11" s="158" t="str"/>
      <x:c r="L11" s="158" t="str"/>
    </x:row>
    <x:row r="12" ht="34" customHeight="1">
      <x:c r="A12" s="244" t="str"/>
      <x:c r="B12" s="158" t="str"/>
      <x:c r="C12" s="158" t="str"/>
      <x:c r="D12" s="158" t="str"/>
      <x:c r="E12" s="158" t="str"/>
      <x:c r="F12" s="158" t="str"/>
      <x:c r="G12" s="158" t="str"/>
      <x:c r="H12" s="158" t="str"/>
      <x:c r="I12" s="158" t="str"/>
      <x:c r="J12" s="158" t="str"/>
      <x:c r="K12" s="158" t="str"/>
      <x:c r="L12" s="158" t="str"/>
    </x:row>
    <x:row r="13" ht="34" customHeight="1">
      <x:c r="A13" s="244" t="str"/>
      <x:c r="B13" s="158" t="str"/>
      <x:c r="C13" s="158" t="str"/>
      <x:c r="D13" s="158" t="str"/>
      <x:c r="E13" s="158" t="str"/>
      <x:c r="F13" s="158" t="str"/>
      <x:c r="G13" s="158" t="str"/>
      <x:c r="H13" s="158" t="str"/>
      <x:c r="I13" s="158" t="str"/>
      <x:c r="J13" s="158" t="str"/>
      <x:c r="K13" s="158" t="str"/>
      <x:c r="L13" s="158" t="str"/>
    </x:row>
    <x:row r="14" ht="34" customHeight="1">
      <x:c r="A14" s="244" t="str"/>
      <x:c r="B14" s="158" t="str"/>
      <x:c r="C14" s="158" t="str"/>
      <x:c r="D14" s="158" t="str"/>
      <x:c r="E14" s="158" t="str"/>
      <x:c r="F14" s="158" t="str"/>
      <x:c r="G14" s="158" t="str"/>
      <x:c r="H14" s="158" t="str"/>
      <x:c r="I14" s="158" t="str"/>
      <x:c r="J14" s="158" t="str"/>
      <x:c r="K14" s="158" t="str"/>
      <x:c r="L14" s="158" t="str"/>
    </x:row>
    <x:row r="15" ht="34" customHeight="1">
      <x:c r="A15" s="244" t="str"/>
      <x:c r="B15" s="158" t="str"/>
      <x:c r="C15" s="158" t="str"/>
      <x:c r="D15" s="158" t="str"/>
      <x:c r="E15" s="158" t="str"/>
      <x:c r="F15" s="158" t="str"/>
      <x:c r="G15" s="158" t="str"/>
      <x:c r="H15" s="158" t="str"/>
      <x:c r="I15" s="158" t="str"/>
      <x:c r="J15" s="158" t="str"/>
      <x:c r="K15" s="158" t="str"/>
      <x:c r="L15" s="158" t="str"/>
    </x:row>
    <x:row r="16" ht="34" customHeight="1">
      <x:c r="A16" s="244" t="str"/>
      <x:c r="B16" s="158" t="str"/>
      <x:c r="C16" s="158" t="str"/>
      <x:c r="D16" s="158" t="str"/>
      <x:c r="E16" s="158" t="str"/>
      <x:c r="F16" s="158" t="str"/>
      <x:c r="G16" s="158" t="str"/>
      <x:c r="H16" s="158" t="str"/>
      <x:c r="I16" s="158" t="str"/>
      <x:c r="J16" s="158" t="str"/>
      <x:c r="K16" s="158" t="str"/>
      <x:c r="L16" s="158" t="str"/>
    </x:row>
    <x:row r="17" ht="34" customHeight="1">
      <x:c r="A17" s="244" t="str"/>
      <x:c r="B17" s="158" t="str"/>
      <x:c r="C17" s="158" t="str"/>
      <x:c r="D17" s="158" t="str"/>
      <x:c r="E17" s="158" t="str"/>
      <x:c r="F17" s="158" t="str"/>
      <x:c r="G17" s="158" t="str"/>
      <x:c r="H17" s="158" t="str"/>
      <x:c r="I17" s="158" t="str"/>
      <x:c r="J17" s="158" t="str"/>
      <x:c r="K17" s="158" t="str"/>
      <x:c r="L17" s="158" t="str"/>
    </x:row>
    <x:row r="18" ht="34" customHeight="1">
      <x:c r="A18" s="244" t="str"/>
      <x:c r="B18" s="158" t="str"/>
      <x:c r="C18" s="158" t="str"/>
      <x:c r="D18" s="158" t="str"/>
      <x:c r="E18" s="158" t="str"/>
      <x:c r="F18" s="158" t="str"/>
      <x:c r="G18" s="158" t="str"/>
      <x:c r="H18" s="158" t="str"/>
      <x:c r="I18" s="158" t="str"/>
      <x:c r="J18" s="158" t="str"/>
      <x:c r="K18" s="158" t="str"/>
      <x:c r="L18" s="158" t="str"/>
    </x:row>
    <x:row r="19" ht="34" customHeight="1">
      <x:c r="A19" s="244" t="str"/>
      <x:c r="B19" s="158" t="str"/>
      <x:c r="C19" s="158" t="str"/>
      <x:c r="D19" s="158" t="str"/>
      <x:c r="E19" s="158" t="str"/>
      <x:c r="F19" s="158" t="str"/>
      <x:c r="G19" s="158" t="str"/>
      <x:c r="H19" s="158" t="str"/>
      <x:c r="I19" s="158" t="str"/>
      <x:c r="J19" s="158" t="str"/>
      <x:c r="K19" s="158" t="str"/>
      <x:c r="L19" s="158" t="str"/>
    </x:row>
    <x:row r="20" ht="34" customHeight="1">
      <x:c r="A20" s="244" t="str"/>
      <x:c r="B20" s="158" t="str"/>
      <x:c r="C20" s="158" t="str"/>
      <x:c r="D20" s="158" t="str"/>
      <x:c r="E20" s="158" t="str"/>
      <x:c r="F20" s="158" t="str"/>
      <x:c r="G20" s="158" t="str"/>
      <x:c r="H20" s="158" t="str"/>
      <x:c r="I20" s="158" t="str"/>
      <x:c r="J20" s="158" t="str"/>
      <x:c r="K20" s="158" t="str"/>
      <x:c r="L20" s="158" t="str"/>
    </x:row>
    <x:row r="21" ht="34" customHeight="1">
      <x:c r="A21" s="244" t="str"/>
      <x:c r="B21" s="158" t="str"/>
      <x:c r="C21" s="158" t="str"/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</x:row>
    <x:row r="22" ht="34" customHeight="1">
      <x:c r="A22" s="244" t="str"/>
      <x:c r="B22" s="158" t="str"/>
      <x:c r="C22" s="158" t="str"/>
      <x:c r="D22" s="158" t="str"/>
      <x:c r="E22" s="158" t="str"/>
      <x:c r="F22" s="158" t="str"/>
      <x:c r="G22" s="158" t="str"/>
      <x:c r="H22" s="158" t="str"/>
      <x:c r="I22" s="158" t="str"/>
      <x:c r="J22" s="158" t="str"/>
      <x:c r="K22" s="158" t="str"/>
      <x:c r="L22" s="158" t="str"/>
    </x:row>
    <x:row r="23" ht="34" customHeight="1">
      <x:c r="A23" s="244" t="str"/>
      <x:c r="B23" s="158" t="str"/>
      <x:c r="C23" s="158" t="str"/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</x:row>
    <x:row r="24" ht="34" customHeight="1">
      <x:c r="A24" s="244" t="str"/>
      <x:c r="B24" s="158" t="str"/>
      <x:c r="C24" s="158" t="str"/>
      <x:c r="D24" s="158" t="str"/>
      <x:c r="E24" s="158" t="str"/>
      <x:c r="F24" s="158" t="str"/>
      <x:c r="G24" s="158" t="str"/>
      <x:c r="H24" s="158" t="str"/>
      <x:c r="I24" s="158" t="str"/>
      <x:c r="J24" s="158" t="str"/>
      <x:c r="K24" s="158" t="str"/>
      <x:c r="L24" s="158" t="str"/>
    </x:row>
    <x:row r="25" ht="34" customHeight="1">
      <x:c r="A25" s="244" t="str"/>
      <x:c r="B25" s="158" t="str"/>
      <x:c r="C25" s="158" t="str"/>
      <x:c r="D25" s="158" t="str"/>
      <x:c r="E25" s="158" t="str"/>
      <x:c r="F25" s="158" t="str"/>
      <x:c r="G25" s="158" t="str"/>
      <x:c r="H25" s="158" t="str"/>
      <x:c r="I25" s="158" t="str"/>
      <x:c r="J25" s="158" t="str"/>
      <x:c r="K25" s="158" t="str"/>
      <x:c r="L25" s="158" t="str"/>
    </x:row>
    <x:row r="26" ht="34" customHeight="1">
      <x:c r="A26" s="244" t="str"/>
      <x:c r="B26" s="158" t="str"/>
      <x:c r="C26" s="158" t="str"/>
      <x:c r="D26" s="158" t="str"/>
      <x:c r="E26" s="158" t="str"/>
      <x:c r="F26" s="158" t="str"/>
      <x:c r="G26" s="158" t="str"/>
      <x:c r="H26" s="158" t="str"/>
      <x:c r="I26" s="158" t="str"/>
      <x:c r="J26" s="158" t="str"/>
      <x:c r="K26" s="158" t="str"/>
      <x:c r="L26" s="158" t="str"/>
    </x:row>
    <x:row r="27" ht="34" customHeight="1">
      <x:c r="A27" s="244" t="str"/>
      <x:c r="B27" s="158" t="str"/>
      <x:c r="C27" s="158" t="str"/>
      <x:c r="D27" s="158" t="str"/>
      <x:c r="E27" s="158" t="str"/>
      <x:c r="F27" s="158" t="str"/>
      <x:c r="G27" s="158" t="str"/>
      <x:c r="H27" s="158" t="str"/>
      <x:c r="I27" s="158" t="str"/>
      <x:c r="J27" s="158" t="str"/>
      <x:c r="K27" s="158" t="str"/>
      <x:c r="L27" s="158" t="str"/>
    </x:row>
    <x:row r="28" ht="34" customHeight="1">
      <x:c r="A28" s="244" t="str"/>
      <x:c r="B28" s="158" t="str"/>
      <x:c r="C28" s="158" t="str"/>
      <x:c r="D28" s="158" t="str"/>
      <x:c r="E28" s="158" t="str"/>
      <x:c r="F28" s="158" t="str"/>
      <x:c r="G28" s="158" t="str"/>
      <x:c r="H28" s="158" t="str"/>
      <x:c r="I28" s="158" t="str"/>
      <x:c r="J28" s="158" t="str"/>
      <x:c r="K28" s="158" t="str"/>
      <x:c r="L28" s="158" t="str"/>
    </x:row>
    <x:row r="29" ht="34" customHeight="1">
      <x:c r="A29" s="244" t="str"/>
      <x:c r="B29" s="158" t="str"/>
      <x:c r="C29" s="158" t="str"/>
      <x:c r="D29" s="158" t="str"/>
      <x:c r="E29" s="158" t="str"/>
      <x:c r="F29" s="158" t="str"/>
      <x:c r="G29" s="158" t="str"/>
      <x:c r="H29" s="158" t="str"/>
      <x:c r="I29" s="158" t="str"/>
      <x:c r="J29" s="158" t="str"/>
      <x:c r="K29" s="158" t="str"/>
      <x:c r="L29" s="158" t="str"/>
    </x:row>
    <x:row r="30" ht="34" customHeight="1">
      <x:c r="A30" s="244" t="str"/>
      <x:c r="B30" s="158" t="str"/>
      <x:c r="C30" s="158" t="str"/>
      <x:c r="D30" s="158" t="str"/>
      <x:c r="E30" s="158" t="str"/>
      <x:c r="F30" s="158" t="str"/>
      <x:c r="G30" s="158" t="str"/>
      <x:c r="H30" s="158" t="str"/>
      <x:c r="I30" s="158" t="str"/>
      <x:c r="J30" s="158" t="str"/>
      <x:c r="K30" s="158" t="str"/>
      <x:c r="L30" s="158" t="str"/>
    </x:row>
    <x:row r="31" ht="34" customHeight="1">
      <x:c r="A31" s="244" t="str"/>
      <x:c r="B31" s="158" t="str"/>
      <x:c r="C31" s="158" t="str"/>
      <x:c r="D31" s="158" t="str"/>
      <x:c r="E31" s="158" t="str"/>
      <x:c r="F31" s="158" t="str"/>
      <x:c r="G31" s="158" t="str"/>
      <x:c r="H31" s="158" t="str"/>
      <x:c r="I31" s="158" t="str"/>
      <x:c r="J31" s="158" t="str"/>
      <x:c r="K31" s="158" t="str"/>
      <x:c r="L31" s="158" t="str"/>
    </x:row>
    <x:row r="32" ht="34" customHeight="1">
      <x:c r="A32" s="244" t="str"/>
      <x:c r="B32" s="158" t="str"/>
      <x:c r="C32" s="158" t="str"/>
      <x:c r="D32" s="158" t="str"/>
      <x:c r="E32" s="158" t="str"/>
      <x:c r="F32" s="158" t="str"/>
      <x:c r="G32" s="158" t="str"/>
      <x:c r="H32" s="158" t="str"/>
      <x:c r="I32" s="158" t="str"/>
      <x:c r="J32" s="158" t="str"/>
      <x:c r="K32" s="158" t="str"/>
      <x:c r="L32" s="158" t="str"/>
    </x:row>
    <x:row r="33" ht="34" customHeight="1">
      <x:c r="A33" s="244" t="str"/>
      <x:c r="B33" s="158" t="str"/>
      <x:c r="C33" s="158" t="str"/>
      <x:c r="D33" s="158" t="str"/>
      <x:c r="E33" s="158" t="str"/>
      <x:c r="F33" s="158" t="str"/>
      <x:c r="G33" s="158" t="str"/>
      <x:c r="H33" s="158" t="str"/>
      <x:c r="I33" s="158" t="str"/>
      <x:c r="J33" s="158" t="str"/>
      <x:c r="K33" s="158" t="str"/>
      <x:c r="L33" s="158" t="str"/>
    </x:row>
    <x:row r="34" ht="34" customHeight="1">
      <x:c r="A34" s="244" t="str"/>
      <x:c r="B34" s="158" t="str"/>
      <x:c r="C34" s="158" t="str"/>
      <x:c r="D34" s="158" t="str"/>
      <x:c r="E34" s="158" t="str"/>
      <x:c r="F34" s="158" t="str"/>
      <x:c r="G34" s="158" t="str"/>
      <x:c r="H34" s="158" t="str"/>
      <x:c r="I34" s="158" t="str"/>
      <x:c r="J34" s="158" t="str"/>
      <x:c r="K34" s="158" t="str"/>
      <x:c r="L34" s="158" t="str"/>
    </x:row>
    <x:row r="35" ht="34" customHeight="1">
      <x:c r="A35" s="244" t="str"/>
      <x:c r="B35" s="158" t="str"/>
      <x:c r="C35" s="158" t="str"/>
      <x:c r="D35" s="158" t="str"/>
      <x:c r="E35" s="158" t="str"/>
      <x:c r="F35" s="158" t="str"/>
      <x:c r="G35" s="158" t="str"/>
      <x:c r="H35" s="158" t="str"/>
      <x:c r="I35" s="158" t="str"/>
      <x:c r="J35" s="158" t="str"/>
      <x:c r="K35" s="158" t="str"/>
      <x:c r="L35" s="158" t="str"/>
    </x:row>
    <x:row r="36" ht="34" customHeight="1">
      <x:c r="A36" s="244" t="str"/>
      <x:c r="B36" s="158" t="str"/>
      <x:c r="C36" s="158" t="str"/>
      <x:c r="D36" s="158" t="str"/>
      <x:c r="E36" s="158" t="str"/>
      <x:c r="F36" s="158" t="str"/>
      <x:c r="G36" s="158" t="str"/>
      <x:c r="H36" s="158" t="str"/>
      <x:c r="I36" s="158" t="str"/>
      <x:c r="J36" s="158" t="str"/>
      <x:c r="K36" s="158" t="str"/>
      <x:c r="L36" s="158" t="str"/>
    </x:row>
    <x:row r="37" ht="34" customHeight="1">
      <x:c r="A37" s="244" t="str"/>
      <x:c r="B37" s="158" t="str"/>
      <x:c r="C37" s="158" t="str"/>
      <x:c r="D37" s="158" t="str"/>
      <x:c r="E37" s="158" t="str"/>
      <x:c r="F37" s="158" t="str"/>
      <x:c r="G37" s="158" t="str"/>
      <x:c r="H37" s="158" t="str"/>
      <x:c r="I37" s="158" t="str"/>
      <x:c r="J37" s="158" t="str"/>
      <x:c r="K37" s="158" t="str"/>
      <x:c r="L37" s="158" t="str"/>
    </x:row>
    <x:row r="38" ht="34" customHeight="1">
      <x:c r="A38" s="244" t="str"/>
      <x:c r="B38" s="158" t="str"/>
      <x:c r="C38" s="158" t="str"/>
      <x:c r="D38" s="158" t="str"/>
      <x:c r="E38" s="158" t="str"/>
      <x:c r="F38" s="158" t="str"/>
      <x:c r="G38" s="158" t="str"/>
      <x:c r="H38" s="158" t="str"/>
      <x:c r="I38" s="158" t="str"/>
      <x:c r="J38" s="158" t="str"/>
      <x:c r="K38" s="158" t="str"/>
      <x:c r="L38" s="158" t="str"/>
    </x:row>
    <x:row r="39" ht="34" customHeight="1">
      <x:c r="A39" s="244" t="str"/>
      <x:c r="B39" s="158" t="str"/>
      <x:c r="C39" s="158" t="str"/>
      <x:c r="D39" s="158" t="str"/>
      <x:c r="E39" s="158" t="str"/>
      <x:c r="F39" s="158" t="str"/>
      <x:c r="G39" s="158" t="str"/>
      <x:c r="H39" s="158" t="str"/>
      <x:c r="I39" s="158" t="str"/>
      <x:c r="J39" s="158" t="str"/>
      <x:c r="K39" s="158" t="str"/>
      <x:c r="L39" s="158" t="str"/>
    </x:row>
    <x:row r="40" ht="34" customHeight="1">
      <x:c r="A40" s="244" t="str"/>
      <x:c r="B40" s="158" t="str"/>
      <x:c r="C40" s="158" t="str"/>
      <x:c r="D40" s="158" t="str"/>
      <x:c r="E40" s="158" t="str"/>
      <x:c r="F40" s="158" t="str"/>
      <x:c r="G40" s="158" t="str"/>
      <x:c r="H40" s="158" t="str"/>
      <x:c r="I40" s="158" t="str"/>
      <x:c r="J40" s="158" t="str"/>
      <x:c r="K40" s="158" t="str"/>
      <x:c r="L40" s="158" t="str"/>
    </x:row>
    <x:row r="41" ht="34" customHeight="1">
      <x:c r="A41" s="244" t="str"/>
      <x:c r="B41" s="158" t="str"/>
      <x:c r="C41" s="158" t="str"/>
      <x:c r="D41" s="158" t="str"/>
      <x:c r="E41" s="158" t="str"/>
      <x:c r="F41" s="158" t="str"/>
      <x:c r="G41" s="158" t="str"/>
      <x:c r="H41" s="158" t="str"/>
      <x:c r="I41" s="158" t="str"/>
      <x:c r="J41" s="158" t="str"/>
      <x:c r="K41" s="158" t="str"/>
      <x:c r="L41" s="158" t="str"/>
    </x:row>
    <x:row r="42" ht="34" customHeight="1">
      <x:c r="A42" s="244" t="str"/>
      <x:c r="B42" s="158" t="str"/>
      <x:c r="C42" s="158" t="str"/>
      <x:c r="D42" s="158" t="str"/>
      <x:c r="E42" s="158" t="str"/>
      <x:c r="F42" s="158" t="str"/>
      <x:c r="G42" s="158" t="str"/>
      <x:c r="H42" s="158" t="str"/>
      <x:c r="I42" s="158" t="str"/>
      <x:c r="J42" s="158" t="str"/>
      <x:c r="K42" s="158" t="str"/>
      <x:c r="L42" s="158" t="str"/>
    </x:row>
    <x:row r="43" ht="34" customHeight="1">
      <x:c r="A43" s="244" t="str"/>
      <x:c r="B43" s="158" t="str"/>
      <x:c r="C43" s="158" t="str"/>
      <x:c r="D43" s="158" t="str"/>
      <x:c r="E43" s="158" t="str"/>
      <x:c r="F43" s="158" t="str"/>
      <x:c r="G43" s="158" t="str"/>
      <x:c r="H43" s="158" t="str"/>
      <x:c r="I43" s="158" t="str"/>
      <x:c r="J43" s="158" t="str"/>
      <x:c r="K43" s="158" t="str"/>
      <x:c r="L43" s="158" t="str"/>
    </x:row>
    <x:row r="44" ht="34" customHeight="1">
      <x:c r="A44" s="244" t="str"/>
      <x:c r="B44" s="158" t="str"/>
      <x:c r="C44" s="158" t="str"/>
      <x:c r="D44" s="158" t="str"/>
      <x:c r="E44" s="158" t="str"/>
      <x:c r="F44" s="158" t="str"/>
      <x:c r="G44" s="158" t="str"/>
      <x:c r="H44" s="158" t="str"/>
      <x:c r="I44" s="158" t="str"/>
      <x:c r="J44" s="158" t="str"/>
      <x:c r="K44" s="158" t="str"/>
      <x:c r="L44" s="158" t="str"/>
    </x:row>
    <x:row r="45" ht="34" customHeight="1">
      <x:c r="A45" s="244" t="str"/>
      <x:c r="B45" s="158" t="str"/>
      <x:c r="C45" s="158" t="str"/>
      <x:c r="D45" s="158" t="str"/>
      <x:c r="E45" s="158" t="str"/>
      <x:c r="F45" s="158" t="str"/>
      <x:c r="G45" s="158" t="str"/>
      <x:c r="H45" s="158" t="str"/>
      <x:c r="I45" s="158" t="str"/>
      <x:c r="J45" s="158" t="str"/>
      <x:c r="K45" s="158" t="str"/>
      <x:c r="L45" s="158" t="str"/>
    </x:row>
    <x:row r="46" ht="34" customHeight="1">
      <x:c r="A46" s="244" t="str"/>
      <x:c r="B46" s="158" t="str"/>
      <x:c r="C46" s="158" t="str"/>
      <x:c r="D46" s="158" t="str"/>
      <x:c r="E46" s="158" t="str"/>
      <x:c r="F46" s="158" t="str"/>
      <x:c r="G46" s="158" t="str"/>
      <x:c r="H46" s="158" t="str"/>
      <x:c r="I46" s="158" t="str"/>
      <x:c r="J46" s="158" t="str"/>
      <x:c r="K46" s="158" t="str"/>
      <x:c r="L46" s="158" t="str"/>
    </x:row>
    <x:row r="47" ht="34" customHeight="1">
      <x:c r="A47" s="244" t="str"/>
      <x:c r="B47" s="158" t="str"/>
      <x:c r="C47" s="158" t="str"/>
      <x:c r="D47" s="158" t="str"/>
      <x:c r="E47" s="158" t="str"/>
      <x:c r="F47" s="158" t="str"/>
      <x:c r="G47" s="158" t="str"/>
      <x:c r="H47" s="158" t="str"/>
      <x:c r="I47" s="158" t="str"/>
      <x:c r="J47" s="158" t="str"/>
      <x:c r="K47" s="158" t="str"/>
      <x:c r="L47" s="158" t="str"/>
    </x:row>
    <x:row r="48" ht="34" customHeight="1">
      <x:c r="A48" s="244" t="str"/>
      <x:c r="B48" s="158" t="str"/>
      <x:c r="C48" s="158" t="str"/>
      <x:c r="D48" s="158" t="str"/>
      <x:c r="E48" s="158" t="str"/>
      <x:c r="F48" s="158" t="str"/>
      <x:c r="G48" s="158" t="str"/>
      <x:c r="H48" s="158" t="str"/>
      <x:c r="I48" s="158" t="str"/>
      <x:c r="J48" s="158" t="str"/>
      <x:c r="K48" s="158" t="str"/>
      <x:c r="L48" s="158" t="str"/>
    </x:row>
    <x:row r="49" ht="34" customHeight="1">
      <x:c r="A49" s="244" t="str"/>
      <x:c r="B49" s="158" t="str"/>
      <x:c r="C49" s="158" t="str"/>
      <x:c r="D49" s="158" t="str"/>
      <x:c r="E49" s="158" t="str"/>
      <x:c r="F49" s="158" t="str"/>
      <x:c r="G49" s="158" t="str"/>
      <x:c r="H49" s="158" t="str"/>
      <x:c r="I49" s="158" t="str"/>
      <x:c r="J49" s="158" t="str"/>
      <x:c r="K49" s="158" t="str"/>
      <x:c r="L49" s="158" t="str"/>
    </x:row>
    <x:row r="50" ht="34" customHeight="1">
      <x:c r="A50" s="244" t="str"/>
      <x:c r="B50" s="158" t="str"/>
      <x:c r="C50" s="158" t="str"/>
      <x:c r="D50" s="158" t="str"/>
      <x:c r="E50" s="158" t="str"/>
      <x:c r="F50" s="158" t="str"/>
      <x:c r="G50" s="158" t="str"/>
      <x:c r="H50" s="158" t="str"/>
      <x:c r="I50" s="158" t="str"/>
      <x:c r="J50" s="158" t="str"/>
      <x:c r="K50" s="158" t="str"/>
      <x:c r="L50" s="158" t="str"/>
    </x:row>
    <x:row r="51" ht="34" customHeight="1">
      <x:c r="A51" s="244" t="str"/>
      <x:c r="B51" s="158" t="str"/>
      <x:c r="C51" s="158" t="str"/>
      <x:c r="D51" s="158" t="str"/>
      <x:c r="E51" s="158" t="str"/>
      <x:c r="F51" s="158" t="str"/>
      <x:c r="G51" s="158" t="str"/>
      <x:c r="H51" s="158" t="str"/>
      <x:c r="I51" s="158" t="str"/>
      <x:c r="J51" s="158" t="str"/>
      <x:c r="K51" s="158" t="str"/>
      <x:c r="L51" s="158" t="str"/>
    </x:row>
    <x:row r="52" ht="34" customHeight="1">
      <x:c r="A52" s="244" t="str"/>
      <x:c r="B52" s="158" t="str"/>
      <x:c r="C52" s="158" t="str"/>
      <x:c r="D52" s="158" t="str"/>
      <x:c r="E52" s="158" t="str"/>
      <x:c r="F52" s="158" t="str"/>
      <x:c r="G52" s="158" t="str"/>
      <x:c r="H52" s="158" t="str"/>
      <x:c r="I52" s="158" t="str"/>
      <x:c r="J52" s="158" t="str"/>
      <x:c r="K52" s="158" t="str"/>
      <x:c r="L52" s="158" t="str"/>
    </x:row>
    <x:row r="53" ht="34" customHeight="1">
      <x:c r="A53" s="244" t="str"/>
      <x:c r="B53" s="158" t="str"/>
      <x:c r="C53" s="158" t="str"/>
      <x:c r="D53" s="158" t="str"/>
      <x:c r="E53" s="158" t="str"/>
      <x:c r="F53" s="158" t="str"/>
      <x:c r="G53" s="158" t="str"/>
      <x:c r="H53" s="158" t="str"/>
      <x:c r="I53" s="158" t="str"/>
      <x:c r="J53" s="158" t="str"/>
      <x:c r="K53" s="158" t="str"/>
      <x:c r="L53" s="158" t="str"/>
    </x:row>
    <x:row r="54" ht="34" customHeight="1">
      <x:c r="A54" s="244" t="str"/>
      <x:c r="B54" s="158" t="str"/>
      <x:c r="C54" s="158" t="str"/>
      <x:c r="D54" s="158" t="str"/>
      <x:c r="E54" s="158" t="str"/>
      <x:c r="F54" s="158" t="str"/>
      <x:c r="G54" s="158" t="str"/>
      <x:c r="H54" s="158" t="str"/>
      <x:c r="I54" s="158" t="str"/>
      <x:c r="J54" s="158" t="str"/>
      <x:c r="K54" s="158" t="str"/>
      <x:c r="L54" s="158" t="str"/>
    </x:row>
    <x:row r="55" ht="34" customHeight="1">
      <x:c r="A55" s="244" t="str"/>
      <x:c r="B55" s="158" t="str"/>
      <x:c r="C55" s="158" t="str"/>
      <x:c r="D55" s="158" t="str"/>
      <x:c r="E55" s="158" t="str"/>
      <x:c r="F55" s="158" t="str"/>
      <x:c r="G55" s="158" t="str"/>
      <x:c r="H55" s="158" t="str"/>
      <x:c r="I55" s="158" t="str"/>
      <x:c r="J55" s="158" t="str"/>
      <x:c r="K55" s="158" t="str"/>
      <x:c r="L55" s="158" t="str"/>
    </x:row>
    <x:row r="56" ht="34" customHeight="1">
      <x:c r="A56" s="244" t="str"/>
      <x:c r="B56" s="158" t="str"/>
      <x:c r="C56" s="158" t="str"/>
      <x:c r="D56" s="158" t="str"/>
      <x:c r="E56" s="158" t="str"/>
      <x:c r="F56" s="158" t="str"/>
      <x:c r="G56" s="158" t="str"/>
      <x:c r="H56" s="158" t="str"/>
      <x:c r="I56" s="158" t="str"/>
      <x:c r="J56" s="158" t="str"/>
      <x:c r="K56" s="158" t="str"/>
      <x:c r="L56" s="158" t="str"/>
    </x:row>
    <x:row r="57" ht="34" customHeight="1">
      <x:c r="A57" s="244" t="str"/>
      <x:c r="B57" s="158" t="str"/>
      <x:c r="C57" s="158" t="str"/>
      <x:c r="D57" s="158" t="str"/>
      <x:c r="E57" s="158" t="str"/>
      <x:c r="F57" s="158" t="str"/>
      <x:c r="G57" s="158" t="str"/>
      <x:c r="H57" s="158" t="str"/>
      <x:c r="I57" s="158" t="str"/>
      <x:c r="J57" s="158" t="str"/>
      <x:c r="K57" s="158" t="str"/>
      <x:c r="L57" s="158" t="str"/>
    </x:row>
    <x:row r="58" ht="34" customHeight="1">
      <x:c r="A58" s="244" t="str"/>
      <x:c r="B58" s="158" t="str"/>
      <x:c r="C58" s="158" t="str"/>
      <x:c r="D58" s="158" t="str"/>
      <x:c r="E58" s="158" t="str"/>
      <x:c r="F58" s="158" t="str"/>
      <x:c r="G58" s="158" t="str"/>
      <x:c r="H58" s="158" t="str"/>
      <x:c r="I58" s="158" t="str"/>
      <x:c r="J58" s="158" t="str"/>
      <x:c r="K58" s="158" t="str"/>
      <x:c r="L58" s="158" t="str"/>
    </x:row>
    <x:row r="59" ht="34" customHeight="1">
      <x:c r="A59" s="244" t="str"/>
      <x:c r="B59" s="158" t="str"/>
      <x:c r="C59" s="158" t="str"/>
      <x:c r="D59" s="158" t="str"/>
      <x:c r="E59" s="158" t="str"/>
      <x:c r="F59" s="158" t="str"/>
      <x:c r="G59" s="158" t="str"/>
      <x:c r="H59" s="158" t="str"/>
      <x:c r="I59" s="158" t="str"/>
      <x:c r="J59" s="158" t="str"/>
      <x:c r="K59" s="158" t="str"/>
      <x:c r="L59" s="158" t="str"/>
    </x:row>
    <x:row r="60" ht="34" customHeight="1">
      <x:c r="A60" s="244" t="str"/>
      <x:c r="B60" s="158" t="str"/>
      <x:c r="C60" s="158" t="str"/>
      <x:c r="D60" s="158" t="str"/>
      <x:c r="E60" s="158" t="str"/>
      <x:c r="F60" s="158" t="str"/>
      <x:c r="G60" s="158" t="str"/>
      <x:c r="H60" s="158" t="str"/>
      <x:c r="I60" s="158" t="str"/>
      <x:c r="J60" s="158" t="str"/>
      <x:c r="K60" s="158" t="str"/>
      <x:c r="L60" s="158" t="str"/>
    </x:row>
    <x:row r="61" ht="34" customHeight="1">
      <x:c r="A61" s="244" t="str"/>
      <x:c r="B61" s="158" t="str"/>
      <x:c r="C61" s="158" t="str"/>
      <x:c r="D61" s="158" t="str"/>
      <x:c r="E61" s="158" t="str"/>
      <x:c r="F61" s="158" t="str"/>
      <x:c r="G61" s="158" t="str"/>
      <x:c r="H61" s="158" t="str"/>
      <x:c r="I61" s="158" t="str"/>
      <x:c r="J61" s="158" t="str"/>
      <x:c r="K61" s="158" t="str"/>
      <x:c r="L61" s="158" t="str"/>
    </x:row>
    <x:row r="62" ht="34" customHeight="1">
      <x:c r="A62" s="244" t="str"/>
      <x:c r="B62" s="158" t="str"/>
      <x:c r="C62" s="158" t="str"/>
      <x:c r="D62" s="158" t="str"/>
      <x:c r="E62" s="158" t="str"/>
      <x:c r="F62" s="158" t="str"/>
      <x:c r="G62" s="158" t="str"/>
      <x:c r="H62" s="158" t="str"/>
      <x:c r="I62" s="158" t="str"/>
      <x:c r="J62" s="158" t="str"/>
      <x:c r="K62" s="158" t="str"/>
      <x:c r="L62" s="158" t="str"/>
    </x:row>
    <x:row r="63" ht="34" customHeight="1">
      <x:c r="A63" s="244" t="str"/>
      <x:c r="B63" s="158" t="str"/>
      <x:c r="C63" s="158" t="str"/>
      <x:c r="D63" s="158" t="str"/>
      <x:c r="E63" s="158" t="str"/>
      <x:c r="F63" s="158" t="str"/>
      <x:c r="G63" s="158" t="str"/>
      <x:c r="H63" s="158" t="str"/>
      <x:c r="I63" s="158" t="str"/>
      <x:c r="J63" s="158" t="str"/>
      <x:c r="K63" s="158" t="str"/>
      <x:c r="L63" s="158" t="str"/>
    </x:row>
    <x:row r="64" ht="34" customHeight="1">
      <x:c r="A64" s="244" t="str"/>
      <x:c r="B64" s="158" t="str"/>
      <x:c r="C64" s="158" t="str"/>
      <x:c r="D64" s="158" t="str"/>
      <x:c r="E64" s="158" t="str"/>
      <x:c r="F64" s="158" t="str"/>
      <x:c r="G64" s="158" t="str"/>
      <x:c r="H64" s="158" t="str"/>
      <x:c r="I64" s="158" t="str"/>
      <x:c r="J64" s="158" t="str"/>
      <x:c r="K64" s="158" t="str"/>
      <x:c r="L64" s="158" t="str"/>
    </x:row>
    <x:row r="65" ht="34" customHeight="1">
      <x:c r="A65" s="244" t="str"/>
      <x:c r="B65" s="158" t="str"/>
      <x:c r="C65" s="158" t="str"/>
      <x:c r="D65" s="158" t="str"/>
      <x:c r="E65" s="158" t="str"/>
      <x:c r="F65" s="158" t="str"/>
      <x:c r="G65" s="158" t="str"/>
      <x:c r="H65" s="158" t="str"/>
      <x:c r="I65" s="158" t="str"/>
      <x:c r="J65" s="158" t="str"/>
      <x:c r="K65" s="158" t="str"/>
      <x:c r="L65" s="158" t="str"/>
    </x:row>
    <x:row r="66" ht="34" customHeight="1">
      <x:c r="A66" s="244" t="str"/>
      <x:c r="B66" s="158" t="str"/>
      <x:c r="C66" s="158" t="str"/>
      <x:c r="D66" s="158" t="str"/>
      <x:c r="E66" s="158" t="str"/>
      <x:c r="F66" s="158" t="str"/>
      <x:c r="G66" s="158" t="str"/>
      <x:c r="H66" s="158" t="str"/>
      <x:c r="I66" s="158" t="str"/>
      <x:c r="J66" s="158" t="str"/>
      <x:c r="K66" s="158" t="str"/>
      <x:c r="L66" s="158" t="str"/>
    </x:row>
    <x:row r="67" ht="34" customHeight="1">
      <x:c r="A67" s="244" t="str"/>
      <x:c r="B67" s="158" t="str"/>
      <x:c r="C67" s="158" t="str"/>
      <x:c r="D67" s="158" t="str"/>
      <x:c r="E67" s="158" t="str"/>
      <x:c r="F67" s="158" t="str"/>
      <x:c r="G67" s="158" t="str"/>
      <x:c r="H67" s="158" t="str"/>
      <x:c r="I67" s="158" t="str"/>
      <x:c r="J67" s="158" t="str"/>
      <x:c r="K67" s="158" t="str"/>
      <x:c r="L67" s="158" t="str"/>
    </x:row>
    <x:row r="68" ht="34" customHeight="1">
      <x:c r="A68" s="244" t="str"/>
      <x:c r="B68" s="158" t="str"/>
      <x:c r="C68" s="158" t="str"/>
      <x:c r="D68" s="158" t="str"/>
      <x:c r="E68" s="158" t="str"/>
      <x:c r="F68" s="158" t="str"/>
      <x:c r="G68" s="158" t="str"/>
      <x:c r="H68" s="158" t="str"/>
      <x:c r="I68" s="158" t="str"/>
      <x:c r="J68" s="158" t="str"/>
      <x:c r="K68" s="158" t="str"/>
      <x:c r="L68" s="158" t="str"/>
    </x:row>
    <x:row r="69" ht="34" customHeight="1">
      <x:c r="A69" s="244" t="str"/>
      <x:c r="B69" s="158" t="str"/>
      <x:c r="C69" s="158" t="str"/>
      <x:c r="D69" s="158" t="str"/>
      <x:c r="E69" s="158" t="str"/>
      <x:c r="F69" s="158" t="str"/>
      <x:c r="G69" s="158" t="str"/>
      <x:c r="H69" s="158" t="str"/>
      <x:c r="I69" s="158" t="str"/>
      <x:c r="J69" s="158" t="str"/>
      <x:c r="K69" s="158" t="str"/>
      <x:c r="L69" s="158" t="str"/>
    </x:row>
    <x:row r="70" ht="34" customHeight="1">
      <x:c r="A70" s="244" t="str"/>
      <x:c r="B70" s="158" t="str"/>
      <x:c r="C70" s="158" t="str"/>
      <x:c r="D70" s="158" t="str"/>
      <x:c r="E70" s="158" t="str"/>
      <x:c r="F70" s="158" t="str"/>
      <x:c r="G70" s="158" t="str"/>
      <x:c r="H70" s="158" t="str"/>
      <x:c r="I70" s="158" t="str"/>
      <x:c r="J70" s="158" t="str"/>
      <x:c r="K70" s="158" t="str"/>
      <x:c r="L70" s="158" t="str"/>
    </x:row>
    <x:row r="71" ht="34" customHeight="1">
      <x:c r="A71" s="244" t="str"/>
      <x:c r="B71" s="158" t="str"/>
      <x:c r="C71" s="158" t="str"/>
      <x:c r="D71" s="158" t="str"/>
      <x:c r="E71" s="158" t="str"/>
      <x:c r="F71" s="158" t="str"/>
      <x:c r="G71" s="158" t="str"/>
      <x:c r="H71" s="158" t="str"/>
      <x:c r="I71" s="158" t="str"/>
      <x:c r="J71" s="158" t="str"/>
      <x:c r="K71" s="158" t="str"/>
      <x:c r="L71" s="158" t="str"/>
    </x:row>
    <x:row r="72" ht="34" customHeight="1">
      <x:c r="A72" s="244" t="str"/>
      <x:c r="B72" s="158" t="str"/>
      <x:c r="C72" s="158" t="str"/>
      <x:c r="D72" s="158" t="str"/>
      <x:c r="E72" s="158" t="str"/>
      <x:c r="F72" s="158" t="str"/>
      <x:c r="G72" s="158" t="str"/>
      <x:c r="H72" s="158" t="str"/>
      <x:c r="I72" s="158" t="str"/>
      <x:c r="J72" s="158" t="str"/>
      <x:c r="K72" s="158" t="str"/>
      <x:c r="L72" s="158" t="str"/>
    </x:row>
    <x:row r="73" ht="34" customHeight="1">
      <x:c r="A73" s="244" t="str"/>
      <x:c r="B73" s="158" t="str"/>
      <x:c r="C73" s="158" t="str"/>
      <x:c r="D73" s="158" t="str"/>
      <x:c r="E73" s="158" t="str"/>
      <x:c r="F73" s="158" t="str"/>
      <x:c r="G73" s="158" t="str"/>
      <x:c r="H73" s="158" t="str"/>
      <x:c r="I73" s="158" t="str"/>
      <x:c r="J73" s="158" t="str"/>
      <x:c r="K73" s="158" t="str"/>
      <x:c r="L73" s="158" t="str"/>
    </x:row>
    <x:row r="74" ht="34" customHeight="1">
      <x:c r="A74" s="244" t="str"/>
      <x:c r="B74" s="158" t="str"/>
      <x:c r="C74" s="158" t="str"/>
      <x:c r="D74" s="158" t="str"/>
      <x:c r="E74" s="158" t="str"/>
      <x:c r="F74" s="158" t="str"/>
      <x:c r="G74" s="158" t="str"/>
      <x:c r="H74" s="158" t="str"/>
      <x:c r="I74" s="158" t="str"/>
      <x:c r="J74" s="158" t="str"/>
      <x:c r="K74" s="158" t="str"/>
      <x:c r="L74" s="158" t="str"/>
    </x:row>
    <x:row r="75" ht="34" customHeight="1">
      <x:c r="A75" s="244" t="str"/>
      <x:c r="B75" s="158" t="str"/>
      <x:c r="C75" s="158" t="str"/>
      <x:c r="D75" s="158" t="str"/>
      <x:c r="E75" s="158" t="str"/>
      <x:c r="F75" s="158" t="str"/>
      <x:c r="G75" s="158" t="str"/>
      <x:c r="H75" s="158" t="str"/>
      <x:c r="I75" s="158" t="str"/>
      <x:c r="J75" s="158" t="str"/>
      <x:c r="K75" s="158" t="str"/>
      <x:c r="L75" s="158" t="str"/>
    </x:row>
    <x:row r="76" ht="34" customHeight="1">
      <x:c r="A76" s="244" t="str"/>
      <x:c r="B76" s="158" t="str"/>
      <x:c r="C76" s="158" t="str"/>
      <x:c r="D76" s="158" t="str"/>
      <x:c r="E76" s="158" t="str"/>
      <x:c r="F76" s="158" t="str"/>
      <x:c r="G76" s="158" t="str"/>
      <x:c r="H76" s="158" t="str"/>
      <x:c r="I76" s="158" t="str"/>
      <x:c r="J76" s="158" t="str"/>
      <x:c r="K76" s="158" t="str"/>
      <x:c r="L76" s="158" t="str"/>
    </x:row>
    <x:row r="77" ht="34" customHeight="1">
      <x:c r="A77" s="244" t="str"/>
      <x:c r="B77" s="158" t="str"/>
      <x:c r="C77" s="158" t="str"/>
      <x:c r="D77" s="158" t="str"/>
      <x:c r="E77" s="158" t="str"/>
      <x:c r="F77" s="158" t="str"/>
      <x:c r="G77" s="158" t="str"/>
      <x:c r="H77" s="158" t="str"/>
      <x:c r="I77" s="158" t="str"/>
      <x:c r="J77" s="158" t="str"/>
      <x:c r="K77" s="158" t="str"/>
      <x:c r="L77" s="158" t="str"/>
    </x:row>
    <x:row r="78" ht="34" customHeight="1">
      <x:c r="A78" s="244" t="str"/>
      <x:c r="B78" s="158" t="str"/>
      <x:c r="C78" s="158" t="str"/>
      <x:c r="D78" s="158" t="str"/>
      <x:c r="E78" s="158" t="str"/>
      <x:c r="F78" s="158" t="str"/>
      <x:c r="G78" s="158" t="str"/>
      <x:c r="H78" s="158" t="str"/>
      <x:c r="I78" s="158" t="str"/>
      <x:c r="J78" s="158" t="str"/>
      <x:c r="K78" s="158" t="str"/>
      <x:c r="L78" s="158" t="str"/>
    </x:row>
    <x:row r="79" ht="34" customHeight="1">
      <x:c r="A79" s="244" t="str"/>
      <x:c r="B79" s="158" t="str"/>
      <x:c r="C79" s="158" t="str"/>
      <x:c r="D79" s="158" t="str"/>
      <x:c r="E79" s="158" t="str"/>
      <x:c r="F79" s="158" t="str"/>
      <x:c r="G79" s="158" t="str"/>
      <x:c r="H79" s="158" t="str"/>
      <x:c r="I79" s="158" t="str"/>
      <x:c r="J79" s="158" t="str"/>
      <x:c r="K79" s="158" t="str"/>
      <x:c r="L79" s="158" t="str"/>
    </x:row>
    <x:row r="80" ht="34" customHeight="1">
      <x:c r="A80" s="244" t="str"/>
      <x:c r="B80" s="158" t="str"/>
      <x:c r="C80" s="158" t="str"/>
      <x:c r="D80" s="158" t="str"/>
      <x:c r="E80" s="158" t="str"/>
      <x:c r="F80" s="158" t="str"/>
      <x:c r="G80" s="158" t="str"/>
      <x:c r="H80" s="158" t="str"/>
      <x:c r="I80" s="158" t="str"/>
      <x:c r="J80" s="158" t="str"/>
      <x:c r="K80" s="158" t="str"/>
      <x:c r="L80" s="158" t="str"/>
    </x:row>
    <x:row r="81" ht="34" customHeight="1">
      <x:c r="A81" s="244" t="str"/>
      <x:c r="B81" s="158" t="str"/>
      <x:c r="C81" s="158" t="str"/>
      <x:c r="D81" s="158" t="str"/>
      <x:c r="E81" s="158" t="str"/>
      <x:c r="F81" s="158" t="str"/>
      <x:c r="G81" s="158" t="str"/>
      <x:c r="H81" s="158" t="str"/>
      <x:c r="I81" s="158" t="str"/>
      <x:c r="J81" s="158" t="str"/>
      <x:c r="K81" s="158" t="str"/>
      <x:c r="L81" s="158" t="str"/>
    </x:row>
    <x:row r="82" ht="34" customHeight="1">
      <x:c r="A82" s="244" t="str"/>
      <x:c r="B82" s="158" t="str"/>
      <x:c r="C82" s="158" t="str"/>
      <x:c r="D82" s="158" t="str"/>
      <x:c r="E82" s="158" t="str"/>
      <x:c r="F82" s="158" t="str"/>
      <x:c r="G82" s="158" t="str"/>
      <x:c r="H82" s="158" t="str"/>
      <x:c r="I82" s="158" t="str"/>
      <x:c r="J82" s="158" t="str"/>
      <x:c r="K82" s="158" t="str"/>
      <x:c r="L82" s="158" t="str"/>
    </x:row>
    <x:row r="83" ht="34" customHeight="1">
      <x:c r="A83" s="244" t="str"/>
      <x:c r="B83" s="158" t="str"/>
      <x:c r="C83" s="158" t="str"/>
      <x:c r="D83" s="158" t="str"/>
      <x:c r="E83" s="158" t="str"/>
      <x:c r="F83" s="158" t="str"/>
      <x:c r="G83" s="158" t="str"/>
      <x:c r="H83" s="158" t="str"/>
      <x:c r="I83" s="158" t="str"/>
      <x:c r="J83" s="158" t="str"/>
      <x:c r="K83" s="158" t="str"/>
      <x:c r="L83" s="158" t="str"/>
    </x:row>
    <x:row r="84" ht="34" customHeight="1">
      <x:c r="A84" s="244" t="str"/>
      <x:c r="B84" s="158" t="str"/>
      <x:c r="C84" s="158" t="str"/>
      <x:c r="D84" s="158" t="str"/>
      <x:c r="E84" s="158" t="str"/>
      <x:c r="F84" s="158" t="str"/>
      <x:c r="G84" s="158" t="str"/>
      <x:c r="H84" s="158" t="str"/>
      <x:c r="I84" s="158" t="str"/>
      <x:c r="J84" s="158" t="str"/>
      <x:c r="K84" s="158" t="str"/>
      <x:c r="L84" s="158" t="str"/>
    </x:row>
    <x:row r="85" ht="34" customHeight="1">
      <x:c r="A85" s="244" t="str"/>
      <x:c r="B85" s="158" t="str"/>
      <x:c r="C85" s="158" t="str"/>
      <x:c r="D85" s="158" t="str"/>
      <x:c r="E85" s="158" t="str"/>
      <x:c r="F85" s="158" t="str"/>
      <x:c r="G85" s="158" t="str"/>
      <x:c r="H85" s="158" t="str"/>
      <x:c r="I85" s="158" t="str"/>
      <x:c r="J85" s="158" t="str"/>
      <x:c r="K85" s="158" t="str"/>
      <x:c r="L85" s="158" t="str"/>
    </x:row>
    <x:row r="86" ht="34" customHeight="1">
      <x:c r="A86" s="244" t="str"/>
      <x:c r="B86" s="158" t="str"/>
      <x:c r="C86" s="158" t="str"/>
      <x:c r="D86" s="158" t="str"/>
      <x:c r="E86" s="158" t="str"/>
      <x:c r="F86" s="158" t="str"/>
      <x:c r="G86" s="158" t="str"/>
      <x:c r="H86" s="158" t="str"/>
      <x:c r="I86" s="158" t="str"/>
      <x:c r="J86" s="158" t="str"/>
      <x:c r="K86" s="158" t="str"/>
      <x:c r="L86" s="158" t="str"/>
    </x:row>
    <x:row r="87" ht="34" customHeight="1">
      <x:c r="A87" s="244" t="str"/>
      <x:c r="B87" s="158" t="str"/>
      <x:c r="C87" s="158" t="str"/>
      <x:c r="D87" s="158" t="str"/>
      <x:c r="E87" s="158" t="str"/>
      <x:c r="F87" s="158" t="str"/>
      <x:c r="G87" s="158" t="str"/>
      <x:c r="H87" s="158" t="str"/>
      <x:c r="I87" s="158" t="str"/>
      <x:c r="J87" s="158" t="str"/>
      <x:c r="K87" s="158" t="str"/>
      <x:c r="L87" s="158" t="str"/>
    </x:row>
    <x:row r="88" ht="34" customHeight="1">
      <x:c r="A88" s="244" t="str"/>
      <x:c r="B88" s="158" t="str"/>
      <x:c r="C88" s="158" t="str"/>
      <x:c r="D88" s="158" t="str"/>
      <x:c r="E88" s="158" t="str"/>
      <x:c r="F88" s="158" t="str"/>
      <x:c r="G88" s="158" t="str"/>
      <x:c r="H88" s="158" t="str"/>
      <x:c r="I88" s="158" t="str"/>
      <x:c r="J88" s="158" t="str"/>
      <x:c r="K88" s="158" t="str"/>
      <x:c r="L88" s="158" t="str"/>
    </x:row>
    <x:row r="89" ht="34" customHeight="1">
      <x:c r="A89" s="244" t="str"/>
      <x:c r="B89" s="158" t="str"/>
      <x:c r="C89" s="158" t="str"/>
      <x:c r="D89" s="158" t="str"/>
      <x:c r="E89" s="158" t="str"/>
      <x:c r="F89" s="158" t="str"/>
      <x:c r="G89" s="158" t="str"/>
      <x:c r="H89" s="158" t="str"/>
      <x:c r="I89" s="158" t="str"/>
      <x:c r="J89" s="158" t="str"/>
      <x:c r="K89" s="158" t="str"/>
      <x:c r="L89" s="158" t="str"/>
    </x:row>
    <x:row r="90" ht="34" customHeight="1">
      <x:c r="A90" s="244" t="str"/>
      <x:c r="B90" s="158" t="str"/>
      <x:c r="C90" s="158" t="str"/>
      <x:c r="D90" s="158" t="str"/>
      <x:c r="E90" s="158" t="str"/>
      <x:c r="F90" s="158" t="str"/>
      <x:c r="G90" s="158" t="str"/>
      <x:c r="H90" s="158" t="str"/>
      <x:c r="I90" s="158" t="str"/>
      <x:c r="J90" s="158" t="str"/>
      <x:c r="K90" s="158" t="str"/>
      <x:c r="L90" s="158" t="str"/>
    </x:row>
    <x:row r="91" ht="34" customHeight="1">
      <x:c r="A91" s="244" t="str"/>
      <x:c r="B91" s="158" t="str"/>
      <x:c r="C91" s="158" t="str"/>
      <x:c r="D91" s="158" t="str"/>
      <x:c r="E91" s="158" t="str"/>
      <x:c r="F91" s="158" t="str"/>
      <x:c r="G91" s="158" t="str"/>
      <x:c r="H91" s="158" t="str"/>
      <x:c r="I91" s="158" t="str"/>
      <x:c r="J91" s="158" t="str"/>
      <x:c r="K91" s="158" t="str"/>
      <x:c r="L91" s="158" t="str"/>
    </x:row>
    <x:row r="92" ht="34" customHeight="1">
      <x:c r="A92" s="244" t="str"/>
      <x:c r="B92" s="158" t="str"/>
      <x:c r="C92" s="158" t="str"/>
      <x:c r="D92" s="158" t="str"/>
      <x:c r="E92" s="158" t="str"/>
      <x:c r="F92" s="158" t="str"/>
      <x:c r="G92" s="158" t="str"/>
      <x:c r="H92" s="158" t="str"/>
      <x:c r="I92" s="158" t="str"/>
      <x:c r="J92" s="158" t="str"/>
      <x:c r="K92" s="158" t="str"/>
      <x:c r="L92" s="158" t="str"/>
    </x:row>
    <x:row r="93" ht="34" customHeight="1">
      <x:c r="A93" s="244" t="str"/>
      <x:c r="B93" s="158" t="str"/>
      <x:c r="C93" s="158" t="str"/>
      <x:c r="D93" s="158" t="str"/>
      <x:c r="E93" s="158" t="str"/>
      <x:c r="F93" s="158" t="str"/>
      <x:c r="G93" s="158" t="str"/>
      <x:c r="H93" s="158" t="str"/>
      <x:c r="I93" s="158" t="str"/>
      <x:c r="J93" s="158" t="str"/>
      <x:c r="K93" s="158" t="str"/>
      <x:c r="L93" s="158" t="str"/>
    </x:row>
    <x:row r="94" ht="34" customHeight="1">
      <x:c r="A94" s="244" t="str"/>
      <x:c r="B94" s="158" t="str"/>
      <x:c r="C94" s="158" t="str"/>
      <x:c r="D94" s="158" t="str"/>
      <x:c r="E94" s="158" t="str"/>
      <x:c r="F94" s="158" t="str"/>
      <x:c r="G94" s="158" t="str"/>
      <x:c r="H94" s="158" t="str"/>
      <x:c r="I94" s="158" t="str"/>
      <x:c r="J94" s="158" t="str"/>
      <x:c r="K94" s="158" t="str"/>
      <x:c r="L94" s="158" t="str"/>
    </x:row>
    <x:row r="95" ht="34" customHeight="1">
      <x:c r="A95" s="244" t="str"/>
      <x:c r="B95" s="158" t="str"/>
      <x:c r="C95" s="158" t="str"/>
      <x:c r="D95" s="158" t="str"/>
      <x:c r="E95" s="158" t="str"/>
      <x:c r="F95" s="158" t="str"/>
      <x:c r="G95" s="158" t="str"/>
      <x:c r="H95" s="158" t="str"/>
      <x:c r="I95" s="158" t="str"/>
      <x:c r="J95" s="158" t="str"/>
      <x:c r="K95" s="158" t="str"/>
      <x:c r="L95" s="158" t="str"/>
    </x:row>
    <x:row r="96" ht="34" customHeight="1">
      <x:c r="A96" s="244" t="str"/>
      <x:c r="B96" s="158" t="str"/>
      <x:c r="C96" s="158" t="str"/>
      <x:c r="D96" s="158" t="str"/>
      <x:c r="E96" s="158" t="str"/>
      <x:c r="F96" s="158" t="str"/>
      <x:c r="G96" s="158" t="str"/>
      <x:c r="H96" s="158" t="str"/>
      <x:c r="I96" s="158" t="str"/>
      <x:c r="J96" s="158" t="str"/>
      <x:c r="K96" s="158" t="str"/>
      <x:c r="L96" s="158" t="str"/>
    </x:row>
    <x:row r="97" ht="34" customHeight="1">
      <x:c r="A97" s="244" t="str"/>
      <x:c r="B97" s="158" t="str"/>
      <x:c r="C97" s="158" t="str"/>
      <x:c r="D97" s="158" t="str"/>
      <x:c r="E97" s="158" t="str"/>
      <x:c r="F97" s="158" t="str"/>
      <x:c r="G97" s="158" t="str"/>
      <x:c r="H97" s="158" t="str"/>
      <x:c r="I97" s="158" t="str"/>
      <x:c r="J97" s="158" t="str"/>
      <x:c r="K97" s="158" t="str"/>
      <x:c r="L97" s="158" t="str"/>
    </x:row>
    <x:row r="98" ht="34" customHeight="1">
      <x:c r="A98" s="244" t="str"/>
      <x:c r="B98" s="158" t="str"/>
      <x:c r="C98" s="158" t="str"/>
      <x:c r="D98" s="158" t="str"/>
      <x:c r="E98" s="158" t="str"/>
      <x:c r="F98" s="158" t="str"/>
      <x:c r="G98" s="158" t="str"/>
      <x:c r="H98" s="158" t="str"/>
      <x:c r="I98" s="158" t="str"/>
      <x:c r="J98" s="158" t="str"/>
      <x:c r="K98" s="158" t="str"/>
      <x:c r="L98" s="158" t="str"/>
    </x:row>
    <x:row r="99" ht="34" customHeight="1">
      <x:c r="A99" s="244" t="str"/>
      <x:c r="B99" s="158" t="str"/>
      <x:c r="C99" s="158" t="str"/>
      <x:c r="D99" s="158" t="str"/>
      <x:c r="E99" s="158" t="str"/>
      <x:c r="F99" s="158" t="str"/>
      <x:c r="G99" s="158" t="str"/>
      <x:c r="H99" s="158" t="str"/>
      <x:c r="I99" s="158" t="str"/>
      <x:c r="J99" s="158" t="str"/>
      <x:c r="K99" s="158" t="str"/>
      <x:c r="L99" s="158" t="str"/>
    </x:row>
    <x:row r="100" ht="34" customHeight="1">
      <x:c r="A100" s="244" t="str"/>
      <x:c r="B100" s="158" t="str"/>
      <x:c r="C100" s="158" t="str"/>
      <x:c r="D100" s="158" t="str"/>
      <x:c r="E100" s="158" t="str"/>
      <x:c r="F100" s="158" t="str"/>
      <x:c r="G100" s="158" t="str"/>
      <x:c r="H100" s="158" t="str"/>
      <x:c r="I100" s="158" t="str"/>
      <x:c r="J100" s="158" t="str"/>
      <x:c r="K100" s="158" t="str"/>
      <x:c r="L100" s="158" t="str"/>
    </x:row>
    <x:row r="101" ht="34" customHeight="1">
      <x:c r="A101" s="244" t="str"/>
      <x:c r="B101" s="158" t="str"/>
      <x:c r="C101" s="158" t="str"/>
      <x:c r="D101" s="158" t="str"/>
      <x:c r="E101" s="158" t="str"/>
      <x:c r="F101" s="158" t="str"/>
      <x:c r="G101" s="158" t="str"/>
      <x:c r="H101" s="158" t="str"/>
      <x:c r="I101" s="158" t="str"/>
      <x:c r="J101" s="158" t="str"/>
      <x:c r="K101" s="158" t="str"/>
      <x:c r="L101" s="158" t="str"/>
    </x:row>
    <x:row r="102" ht="34" customHeight="1">
      <x:c r="A102" s="244" t="str"/>
      <x:c r="B102" s="158" t="str"/>
      <x:c r="C102" s="158" t="str"/>
      <x:c r="D102" s="158" t="str"/>
      <x:c r="E102" s="158" t="str"/>
      <x:c r="F102" s="158" t="str"/>
      <x:c r="G102" s="158" t="str"/>
      <x:c r="H102" s="158" t="str"/>
      <x:c r="I102" s="158" t="str"/>
      <x:c r="J102" s="158" t="str"/>
      <x:c r="K102" s="158" t="str"/>
      <x:c r="L102" s="158" t="str"/>
    </x:row>
    <x:row r="103" ht="34" customHeight="1">
      <x:c r="A103" s="244" t="str"/>
      <x:c r="B103" s="158" t="str"/>
      <x:c r="C103" s="158" t="str"/>
      <x:c r="D103" s="158" t="str"/>
      <x:c r="E103" s="158" t="str"/>
      <x:c r="F103" s="158" t="str"/>
      <x:c r="G103" s="158" t="str"/>
      <x:c r="H103" s="158" t="str"/>
      <x:c r="I103" s="158" t="str"/>
      <x:c r="J103" s="158" t="str"/>
      <x:c r="K103" s="158" t="str"/>
      <x:c r="L103" s="158" t="str"/>
    </x:row>
    <x:row r="104" ht="34" customHeight="1">
      <x:c r="A104" s="244" t="str"/>
      <x:c r="B104" s="158" t="str"/>
      <x:c r="C104" s="158" t="str"/>
      <x:c r="D104" s="158" t="str"/>
      <x:c r="E104" s="158" t="str"/>
      <x:c r="F104" s="158" t="str"/>
      <x:c r="G104" s="158" t="str"/>
      <x:c r="H104" s="158" t="str"/>
      <x:c r="I104" s="158" t="str"/>
      <x:c r="J104" s="158" t="str"/>
      <x:c r="K104" s="158" t="str"/>
      <x:c r="L104" s="158" t="str"/>
    </x:row>
    <x:row r="105" ht="34" customHeight="1">
      <x:c r="A105" s="244" t="str"/>
      <x:c r="B105" s="158" t="str"/>
      <x:c r="C105" s="158" t="str"/>
      <x:c r="D105" s="158" t="str"/>
      <x:c r="E105" s="158" t="str"/>
      <x:c r="F105" s="158" t="str"/>
      <x:c r="G105" s="158" t="str"/>
      <x:c r="H105" s="158" t="str"/>
      <x:c r="I105" s="158" t="str"/>
      <x:c r="J105" s="158" t="str"/>
      <x:c r="K105" s="158" t="str"/>
      <x:c r="L105" s="158" t="str"/>
    </x:row>
    <x:row r="106" ht="34" customHeight="1">
      <x:c r="A106" s="244" t="str"/>
      <x:c r="B106" s="158" t="str"/>
      <x:c r="C106" s="158" t="str"/>
      <x:c r="D106" s="158" t="str"/>
      <x:c r="E106" s="158" t="str"/>
      <x:c r="F106" s="158" t="str"/>
      <x:c r="G106" s="158" t="str"/>
      <x:c r="H106" s="158" t="str"/>
      <x:c r="I106" s="158" t="str"/>
      <x:c r="J106" s="158" t="str"/>
      <x:c r="K106" s="158" t="str"/>
      <x:c r="L106" s="158" t="str"/>
    </x:row>
    <x:row r="107" ht="34" customHeight="1">
      <x:c r="A107" s="244" t="str"/>
      <x:c r="B107" s="158" t="str"/>
      <x:c r="C107" s="158" t="str"/>
      <x:c r="D107" s="158" t="str"/>
      <x:c r="E107" s="158" t="str"/>
      <x:c r="F107" s="158" t="str"/>
      <x:c r="G107" s="158" t="str"/>
      <x:c r="H107" s="158" t="str"/>
      <x:c r="I107" s="158" t="str"/>
      <x:c r="J107" s="158" t="str"/>
      <x:c r="K107" s="158" t="str"/>
      <x:c r="L107" s="158" t="str"/>
    </x:row>
    <x:row r="108" ht="34" customHeight="1">
      <x:c r="A108" s="244" t="str"/>
      <x:c r="B108" s="158" t="str"/>
      <x:c r="C108" s="158" t="str"/>
      <x:c r="D108" s="158" t="str"/>
      <x:c r="E108" s="158" t="str"/>
      <x:c r="F108" s="158" t="str"/>
      <x:c r="G108" s="158" t="str"/>
      <x:c r="H108" s="158" t="str"/>
      <x:c r="I108" s="158" t="str"/>
      <x:c r="J108" s="158" t="str"/>
      <x:c r="K108" s="158" t="str"/>
      <x:c r="L108" s="158" t="str"/>
    </x:row>
    <x:row r="109" ht="34" customHeight="1">
      <x:c r="A109" s="244" t="str"/>
      <x:c r="B109" s="158" t="str"/>
      <x:c r="C109" s="158" t="str"/>
      <x:c r="D109" s="158" t="str"/>
      <x:c r="E109" s="158" t="str"/>
      <x:c r="F109" s="158" t="str"/>
      <x:c r="G109" s="158" t="str"/>
      <x:c r="H109" s="158" t="str"/>
      <x:c r="I109" s="158" t="str"/>
      <x:c r="J109" s="158" t="str"/>
      <x:c r="K109" s="158" t="str"/>
      <x:c r="L109" s="158" t="str"/>
    </x:row>
    <x:row r="110" ht="34" customHeight="1">
      <x:c r="A110" s="244" t="str"/>
      <x:c r="B110" s="158" t="str"/>
      <x:c r="C110" s="158" t="str"/>
      <x:c r="D110" s="158" t="str"/>
      <x:c r="E110" s="158" t="str"/>
      <x:c r="F110" s="158" t="str"/>
      <x:c r="G110" s="158" t="str"/>
      <x:c r="H110" s="158" t="str"/>
      <x:c r="I110" s="158" t="str"/>
      <x:c r="J110" s="158" t="str"/>
      <x:c r="K110" s="158" t="str"/>
      <x:c r="L110" s="158" t="str"/>
    </x:row>
    <x:row r="111" ht="34" customHeight="1">
      <x:c r="A111" s="244" t="str"/>
      <x:c r="B111" s="158" t="str"/>
      <x:c r="C111" s="158" t="str"/>
      <x:c r="D111" s="158" t="str"/>
      <x:c r="E111" s="158" t="str"/>
      <x:c r="F111" s="158" t="str"/>
      <x:c r="G111" s="158" t="str"/>
      <x:c r="H111" s="158" t="str"/>
      <x:c r="I111" s="158" t="str"/>
      <x:c r="J111" s="158" t="str"/>
      <x:c r="K111" s="158" t="str"/>
      <x:c r="L111" s="158" t="str"/>
    </x:row>
    <x:row r="112" ht="34" customHeight="1">
      <x:c r="A112" s="244" t="str"/>
      <x:c r="B112" s="158" t="str"/>
      <x:c r="C112" s="158" t="str"/>
      <x:c r="D112" s="158" t="str"/>
      <x:c r="E112" s="158" t="str"/>
      <x:c r="F112" s="158" t="str"/>
      <x:c r="G112" s="158" t="str"/>
      <x:c r="H112" s="158" t="str"/>
      <x:c r="I112" s="158" t="str"/>
      <x:c r="J112" s="158" t="str"/>
      <x:c r="K112" s="158" t="str"/>
      <x:c r="L112" s="158" t="str"/>
    </x:row>
    <x:row r="113" ht="34" customHeight="1">
      <x:c r="A113" s="244" t="str"/>
      <x:c r="B113" s="158" t="str"/>
      <x:c r="C113" s="158" t="str"/>
      <x:c r="D113" s="158" t="str"/>
      <x:c r="E113" s="158" t="str"/>
      <x:c r="F113" s="158" t="str"/>
      <x:c r="G113" s="158" t="str"/>
      <x:c r="H113" s="158" t="str"/>
      <x:c r="I113" s="158" t="str"/>
      <x:c r="J113" s="158" t="str"/>
      <x:c r="K113" s="158" t="str"/>
      <x:c r="L113" s="158" t="str"/>
    </x:row>
    <x:row r="114" ht="34" customHeight="1">
      <x:c r="A114" s="244" t="str"/>
      <x:c r="B114" s="158" t="str"/>
      <x:c r="C114" s="158" t="str"/>
      <x:c r="D114" s="158" t="str"/>
      <x:c r="E114" s="158" t="str"/>
      <x:c r="F114" s="158" t="str"/>
      <x:c r="G114" s="158" t="str"/>
      <x:c r="H114" s="158" t="str"/>
      <x:c r="I114" s="158" t="str"/>
      <x:c r="J114" s="158" t="str"/>
      <x:c r="K114" s="158" t="str"/>
      <x:c r="L114" s="158" t="str"/>
    </x:row>
    <x:row r="115" ht="34" customHeight="1">
      <x:c r="A115" s="244" t="str"/>
      <x:c r="B115" s="158" t="str"/>
      <x:c r="C115" s="158" t="str"/>
      <x:c r="D115" s="158" t="str"/>
      <x:c r="E115" s="158" t="str"/>
      <x:c r="F115" s="158" t="str"/>
      <x:c r="G115" s="158" t="str"/>
      <x:c r="H115" s="158" t="str"/>
      <x:c r="I115" s="158" t="str"/>
      <x:c r="J115" s="158" t="str"/>
      <x:c r="K115" s="158" t="str"/>
      <x:c r="L115" s="158" t="str"/>
    </x:row>
    <x:row r="116" ht="34" customHeight="1">
      <x:c r="A116" s="244" t="str"/>
      <x:c r="B116" s="158" t="str"/>
      <x:c r="C116" s="158" t="str"/>
      <x:c r="D116" s="158" t="str"/>
      <x:c r="E116" s="158" t="str"/>
      <x:c r="F116" s="158" t="str"/>
      <x:c r="G116" s="158" t="str"/>
      <x:c r="H116" s="158" t="str"/>
      <x:c r="I116" s="158" t="str"/>
      <x:c r="J116" s="158" t="str"/>
      <x:c r="K116" s="158" t="str"/>
      <x:c r="L116" s="158" t="str"/>
    </x:row>
    <x:row r="117" ht="34" customHeight="1">
      <x:c r="A117" s="244" t="str"/>
      <x:c r="B117" s="158" t="str"/>
      <x:c r="C117" s="158" t="str"/>
      <x:c r="D117" s="158" t="str"/>
      <x:c r="E117" s="158" t="str"/>
      <x:c r="F117" s="158" t="str"/>
      <x:c r="G117" s="158" t="str"/>
      <x:c r="H117" s="158" t="str"/>
      <x:c r="I117" s="158" t="str"/>
      <x:c r="J117" s="158" t="str"/>
      <x:c r="K117" s="158" t="str"/>
      <x:c r="L117" s="158" t="str"/>
    </x:row>
    <x:row r="118" ht="34" customHeight="1">
      <x:c r="A118" s="244" t="str"/>
      <x:c r="B118" s="158" t="str"/>
      <x:c r="C118" s="158" t="str"/>
      <x:c r="D118" s="158" t="str"/>
      <x:c r="E118" s="158" t="str"/>
      <x:c r="F118" s="158" t="str"/>
      <x:c r="G118" s="158" t="str"/>
      <x:c r="H118" s="158" t="str"/>
      <x:c r="I118" s="158" t="str"/>
      <x:c r="J118" s="158" t="str"/>
      <x:c r="K118" s="158" t="str"/>
      <x:c r="L118" s="158" t="str"/>
    </x:row>
    <x:row r="119" ht="34" customHeight="1">
      <x:c r="A119" s="244" t="str"/>
      <x:c r="B119" s="158" t="str"/>
      <x:c r="C119" s="158" t="str"/>
      <x:c r="D119" s="158" t="str"/>
      <x:c r="E119" s="158" t="str"/>
      <x:c r="F119" s="158" t="str"/>
      <x:c r="G119" s="158" t="str"/>
      <x:c r="H119" s="158" t="str"/>
      <x:c r="I119" s="158" t="str"/>
      <x:c r="J119" s="158" t="str"/>
      <x:c r="K119" s="158" t="str"/>
      <x:c r="L119" s="158" t="str"/>
    </x:row>
    <x:row r="120" ht="34" customHeight="1">
      <x:c r="A120" s="244" t="str"/>
      <x:c r="B120" s="158" t="str"/>
      <x:c r="C120" s="158" t="str"/>
      <x:c r="D120" s="158" t="str"/>
      <x:c r="E120" s="158" t="str"/>
      <x:c r="F120" s="158" t="str"/>
      <x:c r="G120" s="158" t="str"/>
      <x:c r="H120" s="158" t="str"/>
      <x:c r="I120" s="158" t="str"/>
      <x:c r="J120" s="158" t="str"/>
      <x:c r="K120" s="158" t="str"/>
      <x:c r="L120" s="158" t="str"/>
    </x:row>
    <x:row r="121" ht="34" customHeight="1">
      <x:c r="A121" s="244" t="str"/>
      <x:c r="B121" s="158" t="str"/>
      <x:c r="C121" s="158" t="str"/>
      <x:c r="D121" s="158" t="str"/>
      <x:c r="E121" s="158" t="str"/>
      <x:c r="F121" s="158" t="str"/>
      <x:c r="G121" s="158" t="str"/>
      <x:c r="H121" s="158" t="str"/>
      <x:c r="I121" s="158" t="str"/>
      <x:c r="J121" s="158" t="str"/>
      <x:c r="K121" s="158" t="str"/>
      <x:c r="L121" s="158" t="str"/>
    </x:row>
    <x:row r="122" ht="34" customHeight="1">
      <x:c r="A122" s="244" t="str"/>
      <x:c r="B122" s="158" t="str"/>
      <x:c r="C122" s="158" t="str"/>
      <x:c r="D122" s="158" t="str"/>
      <x:c r="E122" s="158" t="str"/>
      <x:c r="F122" s="158" t="str"/>
      <x:c r="G122" s="158" t="str"/>
      <x:c r="H122" s="158" t="str"/>
      <x:c r="I122" s="158" t="str"/>
      <x:c r="J122" s="158" t="str"/>
      <x:c r="K122" s="158" t="str"/>
      <x:c r="L122" s="158" t="str"/>
    </x:row>
    <x:row r="123" ht="34" customHeight="1">
      <x:c r="A123" s="244" t="str"/>
      <x:c r="B123" s="158" t="str"/>
      <x:c r="C123" s="158" t="str"/>
      <x:c r="D123" s="158" t="str"/>
      <x:c r="E123" s="158" t="str"/>
      <x:c r="F123" s="158" t="str"/>
      <x:c r="G123" s="158" t="str"/>
      <x:c r="H123" s="158" t="str"/>
      <x:c r="I123" s="158" t="str"/>
      <x:c r="J123" s="158" t="str"/>
      <x:c r="K123" s="158" t="str"/>
      <x:c r="L123" s="158" t="str"/>
    </x:row>
    <x:row r="124" ht="34" customHeight="1">
      <x:c r="A124" s="244" t="str"/>
      <x:c r="B124" s="158" t="str"/>
      <x:c r="C124" s="158" t="str"/>
      <x:c r="D124" s="158" t="str"/>
      <x:c r="E124" s="158" t="str"/>
      <x:c r="F124" s="158" t="str"/>
      <x:c r="G124" s="158" t="str"/>
      <x:c r="H124" s="158" t="str"/>
      <x:c r="I124" s="158" t="str"/>
      <x:c r="J124" s="158" t="str"/>
      <x:c r="K124" s="158" t="str"/>
      <x:c r="L124" s="158" t="str"/>
    </x:row>
    <x:row r="125" ht="34" customHeight="1">
      <x:c r="A125" s="244" t="str"/>
      <x:c r="B125" s="158" t="str"/>
      <x:c r="C125" s="158" t="str"/>
      <x:c r="D125" s="158" t="str"/>
      <x:c r="E125" s="158" t="str"/>
      <x:c r="F125" s="158" t="str"/>
      <x:c r="G125" s="158" t="str"/>
      <x:c r="H125" s="158" t="str"/>
      <x:c r="I125" s="158" t="str"/>
      <x:c r="J125" s="158" t="str"/>
      <x:c r="K125" s="158" t="str"/>
      <x:c r="L125" s="158" t="str"/>
    </x:row>
    <x:row r="126" ht="34" customHeight="1">
      <x:c r="A126" s="244" t="str"/>
      <x:c r="B126" s="158" t="str"/>
      <x:c r="C126" s="158" t="str"/>
      <x:c r="D126" s="158" t="str"/>
      <x:c r="E126" s="158" t="str"/>
      <x:c r="F126" s="158" t="str"/>
      <x:c r="G126" s="158" t="str"/>
      <x:c r="H126" s="158" t="str"/>
      <x:c r="I126" s="158" t="str"/>
      <x:c r="J126" s="158" t="str"/>
      <x:c r="K126" s="158" t="str"/>
      <x:c r="L126" s="158" t="str"/>
    </x:row>
    <x:row r="127" ht="34" customHeight="1">
      <x:c r="A127" s="244" t="str"/>
      <x:c r="B127" s="158" t="str"/>
      <x:c r="C127" s="158" t="str"/>
      <x:c r="D127" s="158" t="str"/>
      <x:c r="E127" s="158" t="str"/>
      <x:c r="F127" s="158" t="str"/>
      <x:c r="G127" s="158" t="str"/>
      <x:c r="H127" s="158" t="str"/>
      <x:c r="I127" s="158" t="str"/>
      <x:c r="J127" s="158" t="str"/>
      <x:c r="K127" s="158" t="str"/>
      <x:c r="L127" s="158" t="str"/>
    </x:row>
    <x:row r="128" ht="34" customHeight="1">
      <x:c r="A128" s="244" t="str"/>
      <x:c r="B128" s="158" t="str"/>
      <x:c r="C128" s="158" t="str"/>
      <x:c r="D128" s="158" t="str"/>
      <x:c r="E128" s="158" t="str"/>
      <x:c r="F128" s="158" t="str"/>
      <x:c r="G128" s="158" t="str"/>
      <x:c r="H128" s="158" t="str"/>
      <x:c r="I128" s="158" t="str"/>
      <x:c r="J128" s="158" t="str"/>
      <x:c r="K128" s="158" t="str"/>
      <x:c r="L128" s="158" t="str"/>
    </x:row>
    <x:row r="129" ht="34" customHeight="1">
      <x:c r="A129" s="244" t="str"/>
      <x:c r="B129" s="158" t="str"/>
      <x:c r="C129" s="158" t="str"/>
      <x:c r="D129" s="158" t="str"/>
      <x:c r="E129" s="158" t="str"/>
      <x:c r="F129" s="158" t="str"/>
      <x:c r="G129" s="158" t="str"/>
      <x:c r="H129" s="158" t="str"/>
      <x:c r="I129" s="158" t="str"/>
      <x:c r="J129" s="158" t="str"/>
      <x:c r="K129" s="158" t="str"/>
      <x:c r="L129" s="158" t="str"/>
    </x:row>
    <x:row r="130" ht="34" customHeight="1">
      <x:c r="A130" s="244" t="str"/>
      <x:c r="B130" s="158" t="str"/>
      <x:c r="C130" s="158" t="str"/>
      <x:c r="D130" s="158" t="str"/>
      <x:c r="E130" s="158" t="str"/>
      <x:c r="F130" s="158" t="str"/>
      <x:c r="G130" s="158" t="str"/>
      <x:c r="H130" s="158" t="str"/>
      <x:c r="I130" s="158" t="str"/>
      <x:c r="J130" s="158" t="str"/>
      <x:c r="K130" s="158" t="str"/>
      <x:c r="L130" s="158" t="str"/>
    </x:row>
    <x:row r="131" ht="34" customHeight="1">
      <x:c r="A131" s="244" t="str"/>
      <x:c r="B131" s="158" t="str"/>
      <x:c r="C131" s="158" t="str"/>
      <x:c r="D131" s="158" t="str"/>
      <x:c r="E131" s="158" t="str"/>
      <x:c r="F131" s="158" t="str"/>
      <x:c r="G131" s="158" t="str"/>
      <x:c r="H131" s="158" t="str"/>
      <x:c r="I131" s="158" t="str"/>
      <x:c r="J131" s="158" t="str"/>
      <x:c r="K131" s="158" t="str"/>
      <x:c r="L131" s="158" t="str"/>
    </x:row>
    <x:row r="132" ht="34" customHeight="1">
      <x:c r="A132" s="244" t="str"/>
      <x:c r="B132" s="158" t="str"/>
      <x:c r="C132" s="158" t="str"/>
      <x:c r="D132" s="158" t="str"/>
      <x:c r="E132" s="158" t="str"/>
      <x:c r="F132" s="158" t="str"/>
      <x:c r="G132" s="158" t="str"/>
      <x:c r="H132" s="158" t="str"/>
      <x:c r="I132" s="158" t="str"/>
      <x:c r="J132" s="158" t="str"/>
      <x:c r="K132" s="158" t="str"/>
      <x:c r="L132" s="158" t="str"/>
    </x:row>
    <x:row r="133" ht="34" customHeight="1">
      <x:c r="A133" s="244" t="str"/>
      <x:c r="B133" s="158" t="str"/>
      <x:c r="C133" s="158" t="str"/>
      <x:c r="D133" s="158" t="str"/>
      <x:c r="E133" s="158" t="str"/>
      <x:c r="F133" s="158" t="str"/>
      <x:c r="G133" s="158" t="str"/>
      <x:c r="H133" s="158" t="str"/>
      <x:c r="I133" s="158" t="str"/>
      <x:c r="J133" s="158" t="str"/>
      <x:c r="K133" s="158" t="str"/>
      <x:c r="L133" s="158" t="str"/>
    </x:row>
    <x:row r="134" ht="34" customHeight="1">
      <x:c r="A134" s="244" t="str"/>
      <x:c r="B134" s="158" t="str"/>
      <x:c r="C134" s="158" t="str"/>
      <x:c r="D134" s="158" t="str"/>
      <x:c r="E134" s="158" t="str"/>
      <x:c r="F134" s="158" t="str"/>
      <x:c r="G134" s="158" t="str"/>
      <x:c r="H134" s="158" t="str"/>
      <x:c r="I134" s="158" t="str"/>
      <x:c r="J134" s="158" t="str"/>
      <x:c r="K134" s="158" t="str"/>
      <x:c r="L134" s="158" t="str"/>
    </x:row>
    <x:row r="135" ht="34" customHeight="1">
      <x:c r="A135" s="244" t="str"/>
      <x:c r="B135" s="158" t="str"/>
      <x:c r="C135" s="158" t="str"/>
      <x:c r="D135" s="158" t="str"/>
      <x:c r="E135" s="158" t="str"/>
      <x:c r="F135" s="158" t="str"/>
      <x:c r="G135" s="158" t="str"/>
      <x:c r="H135" s="158" t="str"/>
      <x:c r="I135" s="158" t="str"/>
      <x:c r="J135" s="158" t="str"/>
      <x:c r="K135" s="158" t="str"/>
      <x:c r="L135" s="158" t="str"/>
    </x:row>
    <x:row r="136" ht="34" customHeight="1">
      <x:c r="A136" s="244" t="str"/>
      <x:c r="B136" s="158" t="str"/>
      <x:c r="C136" s="158" t="str"/>
      <x:c r="D136" s="158" t="str"/>
      <x:c r="E136" s="158" t="str"/>
      <x:c r="F136" s="158" t="str"/>
      <x:c r="G136" s="158" t="str"/>
      <x:c r="H136" s="158" t="str"/>
      <x:c r="I136" s="158" t="str"/>
      <x:c r="J136" s="158" t="str"/>
      <x:c r="K136" s="158" t="str"/>
      <x:c r="L136" s="158" t="str"/>
    </x:row>
    <x:row r="137" ht="34" customHeight="1">
      <x:c r="A137" s="244" t="str"/>
      <x:c r="B137" s="158" t="str"/>
      <x:c r="C137" s="158" t="str"/>
      <x:c r="D137" s="158" t="str"/>
      <x:c r="E137" s="158" t="str"/>
      <x:c r="F137" s="158" t="str"/>
      <x:c r="G137" s="158" t="str"/>
      <x:c r="H137" s="158" t="str"/>
      <x:c r="I137" s="158" t="str"/>
      <x:c r="J137" s="158" t="str"/>
      <x:c r="K137" s="158" t="str"/>
      <x:c r="L137" s="158" t="str"/>
    </x:row>
    <x:row r="138" ht="34" customHeight="1">
      <x:c r="A138" s="244" t="str"/>
      <x:c r="B138" s="158" t="str"/>
      <x:c r="C138" s="158" t="str"/>
      <x:c r="D138" s="158" t="str"/>
      <x:c r="E138" s="158" t="str"/>
      <x:c r="F138" s="158" t="str"/>
      <x:c r="G138" s="158" t="str"/>
      <x:c r="H138" s="158" t="str"/>
      <x:c r="I138" s="158" t="str"/>
      <x:c r="J138" s="158" t="str"/>
      <x:c r="K138" s="158" t="str"/>
      <x:c r="L138" s="158" t="str"/>
    </x:row>
    <x:row r="139" ht="34" customHeight="1">
      <x:c r="A139" s="244" t="str"/>
      <x:c r="B139" s="158" t="str"/>
      <x:c r="C139" s="158" t="str"/>
      <x:c r="D139" s="158" t="str"/>
      <x:c r="E139" s="158" t="str"/>
      <x:c r="F139" s="158" t="str"/>
      <x:c r="G139" s="158" t="str"/>
      <x:c r="H139" s="158" t="str"/>
      <x:c r="I139" s="158" t="str"/>
      <x:c r="J139" s="158" t="str"/>
      <x:c r="K139" s="158" t="str"/>
      <x:c r="L139" s="158" t="str"/>
    </x:row>
    <x:row r="140" ht="34" customHeight="1">
      <x:c r="A140" s="244" t="str"/>
      <x:c r="B140" s="158" t="str"/>
      <x:c r="C140" s="158" t="str"/>
      <x:c r="D140" s="158" t="str"/>
      <x:c r="E140" s="158" t="str"/>
      <x:c r="F140" s="158" t="str"/>
      <x:c r="G140" s="158" t="str"/>
      <x:c r="H140" s="158" t="str"/>
      <x:c r="I140" s="158" t="str"/>
      <x:c r="J140" s="158" t="str"/>
      <x:c r="K140" s="158" t="str"/>
      <x:c r="L140" s="158" t="str"/>
    </x:row>
    <x:row r="141" ht="34" customHeight="1">
      <x:c r="A141" s="244" t="str"/>
      <x:c r="B141" s="158" t="str"/>
      <x:c r="C141" s="158" t="str"/>
      <x:c r="D141" s="158" t="str"/>
      <x:c r="E141" s="158" t="str"/>
      <x:c r="F141" s="158" t="str"/>
      <x:c r="G141" s="158" t="str"/>
      <x:c r="H141" s="158" t="str"/>
      <x:c r="I141" s="158" t="str"/>
      <x:c r="J141" s="158" t="str"/>
      <x:c r="K141" s="158" t="str"/>
      <x:c r="L141" s="158" t="str"/>
    </x:row>
    <x:row r="142" ht="34" customHeight="1">
      <x:c r="A142" s="244" t="str"/>
      <x:c r="B142" s="158" t="str"/>
      <x:c r="C142" s="158" t="str"/>
      <x:c r="D142" s="158" t="str"/>
      <x:c r="E142" s="158" t="str"/>
      <x:c r="F142" s="158" t="str"/>
      <x:c r="G142" s="158" t="str"/>
      <x:c r="H142" s="158" t="str"/>
      <x:c r="I142" s="158" t="str"/>
      <x:c r="J142" s="158" t="str"/>
      <x:c r="K142" s="158" t="str"/>
      <x:c r="L142" s="158" t="str"/>
    </x:row>
    <x:row r="143" ht="34" customHeight="1">
      <x:c r="A143" s="244" t="str"/>
      <x:c r="B143" s="158" t="str"/>
      <x:c r="C143" s="158" t="str"/>
      <x:c r="D143" s="158" t="str"/>
      <x:c r="E143" s="158" t="str"/>
      <x:c r="F143" s="158" t="str"/>
      <x:c r="G143" s="158" t="str"/>
      <x:c r="H143" s="158" t="str"/>
      <x:c r="I143" s="158" t="str"/>
      <x:c r="J143" s="158" t="str"/>
      <x:c r="K143" s="158" t="str"/>
      <x:c r="L143" s="158" t="str"/>
    </x:row>
    <x:row r="144" ht="34" customHeight="1">
      <x:c r="A144" s="244" t="str"/>
      <x:c r="B144" s="158" t="str"/>
      <x:c r="C144" s="158" t="str"/>
      <x:c r="D144" s="158" t="str"/>
      <x:c r="E144" s="158" t="str"/>
      <x:c r="F144" s="158" t="str"/>
      <x:c r="G144" s="158" t="str"/>
      <x:c r="H144" s="158" t="str"/>
      <x:c r="I144" s="158" t="str"/>
      <x:c r="J144" s="158" t="str"/>
      <x:c r="K144" s="158" t="str"/>
      <x:c r="L144" s="158" t="str"/>
    </x:row>
    <x:row r="145" ht="34" customHeight="1">
      <x:c r="A145" s="244" t="str"/>
      <x:c r="B145" s="158" t="str"/>
      <x:c r="C145" s="158" t="str"/>
      <x:c r="D145" s="158" t="str"/>
      <x:c r="E145" s="158" t="str"/>
      <x:c r="F145" s="158" t="str"/>
      <x:c r="G145" s="158" t="str"/>
      <x:c r="H145" s="158" t="str"/>
      <x:c r="I145" s="158" t="str"/>
      <x:c r="J145" s="158" t="str"/>
      <x:c r="K145" s="158" t="str"/>
      <x:c r="L145" s="158" t="str"/>
    </x:row>
    <x:row r="146" ht="34" customHeight="1">
      <x:c r="A146" s="244" t="str"/>
      <x:c r="B146" s="158" t="str"/>
      <x:c r="C146" s="158" t="str"/>
      <x:c r="D146" s="158" t="str"/>
      <x:c r="E146" s="158" t="str"/>
      <x:c r="F146" s="158" t="str"/>
      <x:c r="G146" s="158" t="str"/>
      <x:c r="H146" s="158" t="str"/>
      <x:c r="I146" s="158" t="str"/>
      <x:c r="J146" s="158" t="str"/>
      <x:c r="K146" s="158" t="str"/>
      <x:c r="L146" s="158" t="str"/>
    </x:row>
    <x:row r="147" ht="34" customHeight="1">
      <x:c r="A147" s="244" t="str"/>
      <x:c r="B147" s="158" t="str"/>
      <x:c r="C147" s="158" t="str"/>
      <x:c r="D147" s="158" t="str"/>
      <x:c r="E147" s="158" t="str"/>
      <x:c r="F147" s="158" t="str"/>
      <x:c r="G147" s="158" t="str"/>
      <x:c r="H147" s="158" t="str"/>
      <x:c r="I147" s="158" t="str"/>
      <x:c r="J147" s="158" t="str"/>
      <x:c r="K147" s="158" t="str"/>
      <x:c r="L147" s="158" t="str"/>
    </x:row>
    <x:row r="148" ht="34" customHeight="1">
      <x:c r="A148" s="244" t="str"/>
      <x:c r="B148" s="158" t="str"/>
      <x:c r="C148" s="158" t="str"/>
      <x:c r="D148" s="158" t="str"/>
      <x:c r="E148" s="158" t="str"/>
      <x:c r="F148" s="158" t="str"/>
      <x:c r="G148" s="158" t="str"/>
      <x:c r="H148" s="158" t="str"/>
      <x:c r="I148" s="158" t="str"/>
      <x:c r="J148" s="158" t="str"/>
      <x:c r="K148" s="158" t="str"/>
      <x:c r="L148" s="158" t="str"/>
    </x:row>
    <x:row r="149" ht="34" customHeight="1">
      <x:c r="A149" s="244" t="str"/>
      <x:c r="B149" s="158" t="str"/>
      <x:c r="C149" s="158" t="str"/>
      <x:c r="D149" s="158" t="str"/>
      <x:c r="E149" s="158" t="str"/>
      <x:c r="F149" s="158" t="str"/>
      <x:c r="G149" s="158" t="str"/>
      <x:c r="H149" s="158" t="str"/>
      <x:c r="I149" s="158" t="str"/>
      <x:c r="J149" s="158" t="str"/>
      <x:c r="K149" s="158" t="str"/>
      <x:c r="L149" s="158" t="str"/>
    </x:row>
    <x:row r="150" ht="34" customHeight="1">
      <x:c r="A150" s="244" t="str"/>
      <x:c r="B150" s="158" t="str"/>
      <x:c r="C150" s="158" t="str"/>
      <x:c r="D150" s="158" t="str"/>
      <x:c r="E150" s="158" t="str"/>
      <x:c r="F150" s="158" t="str"/>
      <x:c r="G150" s="158" t="str"/>
      <x:c r="H150" s="158" t="str"/>
      <x:c r="I150" s="158" t="str"/>
      <x:c r="J150" s="158" t="str"/>
      <x:c r="K150" s="158" t="str"/>
      <x:c r="L150" s="158" t="str"/>
    </x:row>
    <x:row r="151" ht="34" customHeight="1">
      <x:c r="A151" s="244" t="str"/>
      <x:c r="B151" s="158" t="str"/>
      <x:c r="C151" s="158" t="str"/>
      <x:c r="D151" s="158" t="str"/>
      <x:c r="E151" s="158" t="str"/>
      <x:c r="F151" s="158" t="str"/>
      <x:c r="G151" s="158" t="str"/>
      <x:c r="H151" s="158" t="str"/>
      <x:c r="I151" s="158" t="str"/>
      <x:c r="J151" s="158" t="str"/>
      <x:c r="K151" s="158" t="str"/>
      <x:c r="L151" s="158" t="str"/>
    </x:row>
    <x:row r="152" ht="34" customHeight="1">
      <x:c r="A152" s="244" t="str"/>
      <x:c r="B152" s="158" t="str"/>
      <x:c r="C152" s="158" t="str"/>
      <x:c r="D152" s="158" t="str"/>
      <x:c r="E152" s="158" t="str"/>
      <x:c r="F152" s="158" t="str"/>
      <x:c r="G152" s="158" t="str"/>
      <x:c r="H152" s="158" t="str"/>
      <x:c r="I152" s="158" t="str"/>
      <x:c r="J152" s="158" t="str"/>
      <x:c r="K152" s="158" t="str"/>
      <x:c r="L152" s="158" t="str"/>
    </x:row>
    <x:row r="153" ht="34" customHeight="1">
      <x:c r="A153" s="244" t="str"/>
      <x:c r="B153" s="158" t="str"/>
      <x:c r="C153" s="158" t="str"/>
      <x:c r="D153" s="158" t="str"/>
      <x:c r="E153" s="158" t="str"/>
      <x:c r="F153" s="158" t="str"/>
      <x:c r="G153" s="158" t="str"/>
      <x:c r="H153" s="158" t="str"/>
      <x:c r="I153" s="158" t="str"/>
      <x:c r="J153" s="158" t="str"/>
      <x:c r="K153" s="158" t="str"/>
      <x:c r="L153" s="158" t="str"/>
    </x:row>
    <x:row r="154" ht="34" customHeight="1">
      <x:c r="A154" s="244" t="str"/>
      <x:c r="B154" s="158" t="str"/>
      <x:c r="C154" s="158" t="str"/>
      <x:c r="D154" s="158" t="str"/>
      <x:c r="E154" s="158" t="str"/>
      <x:c r="F154" s="158" t="str"/>
      <x:c r="G154" s="158" t="str"/>
      <x:c r="H154" s="158" t="str"/>
      <x:c r="I154" s="158" t="str"/>
      <x:c r="J154" s="158" t="str"/>
      <x:c r="K154" s="158" t="str"/>
      <x:c r="L154" s="158" t="str"/>
    </x:row>
    <x:row r="155" ht="34" customHeight="1">
      <x:c r="A155" s="244" t="str"/>
      <x:c r="B155" s="158" t="str"/>
      <x:c r="C155" s="158" t="str"/>
      <x:c r="D155" s="158" t="str"/>
      <x:c r="E155" s="158" t="str"/>
      <x:c r="F155" s="158" t="str"/>
      <x:c r="G155" s="158" t="str"/>
      <x:c r="H155" s="158" t="str"/>
      <x:c r="I155" s="158" t="str"/>
      <x:c r="J155" s="158" t="str"/>
      <x:c r="K155" s="158" t="str"/>
      <x:c r="L155" s="158" t="str"/>
    </x:row>
    <x:row r="156" ht="34" customHeight="1">
      <x:c r="A156" s="244" t="str"/>
      <x:c r="B156" s="158" t="str"/>
      <x:c r="C156" s="158" t="str"/>
      <x:c r="D156" s="158" t="str"/>
      <x:c r="E156" s="158" t="str"/>
      <x:c r="F156" s="158" t="str"/>
      <x:c r="G156" s="158" t="str"/>
      <x:c r="H156" s="158" t="str"/>
      <x:c r="I156" s="158" t="str"/>
      <x:c r="J156" s="158" t="str"/>
      <x:c r="K156" s="158" t="str"/>
      <x:c r="L156" s="158" t="str"/>
    </x:row>
    <x:row r="157" ht="34" customHeight="1">
      <x:c r="A157" s="244" t="str"/>
      <x:c r="B157" s="158" t="str"/>
      <x:c r="C157" s="158" t="str"/>
      <x:c r="D157" s="158" t="str"/>
      <x:c r="E157" s="158" t="str"/>
      <x:c r="F157" s="158" t="str"/>
      <x:c r="G157" s="158" t="str"/>
      <x:c r="H157" s="158" t="str"/>
      <x:c r="I157" s="158" t="str"/>
      <x:c r="J157" s="158" t="str"/>
      <x:c r="K157" s="158" t="str"/>
      <x:c r="L157" s="158" t="str"/>
    </x:row>
    <x:row r="158" ht="34" customHeight="1">
      <x:c r="A158" s="244" t="str"/>
      <x:c r="B158" s="158" t="str"/>
      <x:c r="C158" s="158" t="str"/>
      <x:c r="D158" s="158" t="str"/>
      <x:c r="E158" s="158" t="str"/>
      <x:c r="F158" s="158" t="str"/>
      <x:c r="G158" s="158" t="str"/>
      <x:c r="H158" s="158" t="str"/>
      <x:c r="I158" s="158" t="str"/>
      <x:c r="J158" s="158" t="str"/>
      <x:c r="K158" s="158" t="str"/>
      <x:c r="L158" s="158" t="str"/>
    </x:row>
    <x:row r="159" ht="34" customHeight="1">
      <x:c r="A159" s="244" t="str"/>
      <x:c r="B159" s="158" t="str"/>
      <x:c r="C159" s="158" t="str"/>
      <x:c r="D159" s="158" t="str"/>
      <x:c r="E159" s="158" t="str"/>
      <x:c r="F159" s="158" t="str"/>
      <x:c r="G159" s="158" t="str"/>
      <x:c r="H159" s="158" t="str"/>
      <x:c r="I159" s="158" t="str"/>
      <x:c r="J159" s="158" t="str"/>
      <x:c r="K159" s="158" t="str"/>
      <x:c r="L159" s="158" t="str"/>
    </x:row>
    <x:row r="160" ht="34" customHeight="1">
      <x:c r="A160" s="244" t="str"/>
      <x:c r="B160" s="158" t="str"/>
      <x:c r="C160" s="158" t="str"/>
      <x:c r="D160" s="158" t="str"/>
      <x:c r="E160" s="158" t="str"/>
      <x:c r="F160" s="158" t="str"/>
      <x:c r="G160" s="158" t="str"/>
      <x:c r="H160" s="158" t="str"/>
      <x:c r="I160" s="158" t="str"/>
      <x:c r="J160" s="158" t="str"/>
      <x:c r="K160" s="158" t="str"/>
      <x:c r="L160" s="158" t="str"/>
    </x:row>
    <x:row r="161" ht="34" customHeight="1">
      <x:c r="A161" s="244" t="str"/>
      <x:c r="B161" s="158" t="str"/>
      <x:c r="C161" s="158" t="str"/>
      <x:c r="D161" s="158" t="str"/>
      <x:c r="E161" s="158" t="str"/>
      <x:c r="F161" s="158" t="str"/>
      <x:c r="G161" s="158" t="str"/>
      <x:c r="H161" s="158" t="str"/>
      <x:c r="I161" s="158" t="str"/>
      <x:c r="J161" s="158" t="str"/>
      <x:c r="K161" s="158" t="str"/>
      <x:c r="L161" s="158" t="str"/>
    </x:row>
    <x:row r="162" ht="34" customHeight="1">
      <x:c r="A162" s="244" t="str"/>
      <x:c r="B162" s="158" t="str"/>
      <x:c r="C162" s="158" t="str"/>
      <x:c r="D162" s="158" t="str"/>
      <x:c r="E162" s="158" t="str"/>
      <x:c r="F162" s="158" t="str"/>
      <x:c r="G162" s="158" t="str"/>
      <x:c r="H162" s="158" t="str"/>
      <x:c r="I162" s="158" t="str"/>
      <x:c r="J162" s="158" t="str"/>
      <x:c r="K162" s="158" t="str"/>
      <x:c r="L162" s="158" t="str"/>
    </x:row>
    <x:row r="163" ht="34" customHeight="1">
      <x:c r="A163" s="244" t="str"/>
      <x:c r="B163" s="158" t="str"/>
      <x:c r="C163" s="158" t="str"/>
      <x:c r="D163" s="158" t="str"/>
      <x:c r="E163" s="158" t="str"/>
      <x:c r="F163" s="158" t="str"/>
      <x:c r="G163" s="158" t="str"/>
      <x:c r="H163" s="158" t="str"/>
      <x:c r="I163" s="158" t="str"/>
      <x:c r="J163" s="158" t="str"/>
      <x:c r="K163" s="158" t="str"/>
      <x:c r="L163" s="158" t="str"/>
    </x:row>
    <x:row r="164" ht="34" customHeight="1">
      <x:c r="A164" s="244" t="str"/>
      <x:c r="B164" s="158" t="str"/>
      <x:c r="C164" s="158" t="str"/>
      <x:c r="D164" s="158" t="str"/>
      <x:c r="E164" s="158" t="str"/>
      <x:c r="F164" s="158" t="str"/>
      <x:c r="G164" s="158" t="str"/>
      <x:c r="H164" s="158" t="str"/>
      <x:c r="I164" s="158" t="str"/>
      <x:c r="J164" s="158" t="str"/>
      <x:c r="K164" s="158" t="str"/>
      <x:c r="L164" s="158" t="str"/>
    </x:row>
    <x:row r="165" ht="34" customHeight="1">
      <x:c r="A165" s="244" t="str"/>
      <x:c r="B165" s="158" t="str"/>
      <x:c r="C165" s="158" t="str"/>
      <x:c r="D165" s="158" t="str"/>
      <x:c r="E165" s="158" t="str"/>
      <x:c r="F165" s="158" t="str"/>
      <x:c r="G165" s="158" t="str"/>
      <x:c r="H165" s="158" t="str"/>
      <x:c r="I165" s="158" t="str"/>
      <x:c r="J165" s="158" t="str"/>
      <x:c r="K165" s="158" t="str"/>
      <x:c r="L165" s="158" t="str"/>
    </x:row>
    <x:row r="166" ht="34" customHeight="1">
      <x:c r="A166" s="244" t="str"/>
      <x:c r="B166" s="158" t="str"/>
      <x:c r="C166" s="158" t="str"/>
      <x:c r="D166" s="158" t="str"/>
      <x:c r="E166" s="158" t="str"/>
      <x:c r="F166" s="158" t="str"/>
      <x:c r="G166" s="158" t="str"/>
      <x:c r="H166" s="158" t="str"/>
      <x:c r="I166" s="158" t="str"/>
      <x:c r="J166" s="158" t="str"/>
      <x:c r="K166" s="158" t="str"/>
      <x:c r="L166" s="158" t="str"/>
    </x:row>
    <x:row r="167" ht="34" customHeight="1">
      <x:c r="A167" s="244" t="str"/>
      <x:c r="B167" s="158" t="str"/>
      <x:c r="C167" s="158" t="str"/>
      <x:c r="D167" s="158" t="str"/>
      <x:c r="E167" s="158" t="str"/>
      <x:c r="F167" s="158" t="str"/>
      <x:c r="G167" s="158" t="str"/>
      <x:c r="H167" s="158" t="str"/>
      <x:c r="I167" s="158" t="str"/>
      <x:c r="J167" s="158" t="str"/>
      <x:c r="K167" s="158" t="str"/>
      <x:c r="L167" s="158" t="str"/>
    </x:row>
    <x:row r="168" ht="34" customHeight="1">
      <x:c r="A168" s="244" t="str"/>
      <x:c r="B168" s="158" t="str"/>
      <x:c r="C168" s="158" t="str"/>
      <x:c r="D168" s="158" t="str"/>
      <x:c r="E168" s="158" t="str"/>
      <x:c r="F168" s="158" t="str"/>
      <x:c r="G168" s="158" t="str"/>
      <x:c r="H168" s="158" t="str"/>
      <x:c r="I168" s="158" t="str"/>
      <x:c r="J168" s="158" t="str"/>
      <x:c r="K168" s="158" t="str"/>
      <x:c r="L168" s="158" t="str"/>
    </x:row>
    <x:row r="169" ht="34" customHeight="1">
      <x:c r="A169" s="244" t="str"/>
      <x:c r="B169" s="158" t="str"/>
      <x:c r="C169" s="158" t="str"/>
      <x:c r="D169" s="158" t="str"/>
      <x:c r="E169" s="158" t="str"/>
      <x:c r="F169" s="158" t="str"/>
      <x:c r="G169" s="158" t="str"/>
      <x:c r="H169" s="158" t="str"/>
      <x:c r="I169" s="158" t="str"/>
      <x:c r="J169" s="158" t="str"/>
      <x:c r="K169" s="158" t="str"/>
      <x:c r="L169" s="158" t="str"/>
    </x:row>
    <x:row r="170" ht="34" customHeight="1">
      <x:c r="A170" s="244" t="str"/>
      <x:c r="B170" s="158" t="str"/>
      <x:c r="C170" s="158" t="str"/>
      <x:c r="D170" s="158" t="str"/>
      <x:c r="E170" s="158" t="str"/>
      <x:c r="F170" s="158" t="str"/>
      <x:c r="G170" s="158" t="str"/>
      <x:c r="H170" s="158" t="str"/>
      <x:c r="I170" s="158" t="str"/>
      <x:c r="J170" s="158" t="str"/>
      <x:c r="K170" s="158" t="str"/>
      <x:c r="L170" s="158" t="str"/>
    </x:row>
    <x:row r="171" ht="34" customHeight="1">
      <x:c r="A171" s="244" t="str"/>
      <x:c r="B171" s="158" t="str"/>
      <x:c r="C171" s="158" t="str"/>
      <x:c r="D171" s="158" t="str"/>
      <x:c r="E171" s="158" t="str"/>
      <x:c r="F171" s="158" t="str"/>
      <x:c r="G171" s="158" t="str"/>
      <x:c r="H171" s="158" t="str"/>
      <x:c r="I171" s="158" t="str"/>
      <x:c r="J171" s="158" t="str"/>
      <x:c r="K171" s="158" t="str"/>
      <x:c r="L171" s="158" t="str"/>
    </x:row>
    <x:row r="172" ht="34" customHeight="1">
      <x:c r="A172" s="244" t="str"/>
      <x:c r="B172" s="158" t="str"/>
      <x:c r="C172" s="158" t="str"/>
      <x:c r="D172" s="158" t="str"/>
      <x:c r="E172" s="158" t="str"/>
      <x:c r="F172" s="158" t="str"/>
      <x:c r="G172" s="158" t="str"/>
      <x:c r="H172" s="158" t="str"/>
      <x:c r="I172" s="158" t="str"/>
      <x:c r="J172" s="158" t="str"/>
      <x:c r="K172" s="158" t="str"/>
      <x:c r="L172" s="158" t="str"/>
    </x:row>
    <x:row r="173" ht="34" customHeight="1">
      <x:c r="A173" s="244" t="str"/>
      <x:c r="B173" s="158" t="str"/>
      <x:c r="C173" s="158" t="str"/>
      <x:c r="D173" s="158" t="str"/>
      <x:c r="E173" s="158" t="str"/>
      <x:c r="F173" s="158" t="str"/>
      <x:c r="G173" s="158" t="str"/>
      <x:c r="H173" s="158" t="str"/>
      <x:c r="I173" s="158" t="str"/>
      <x:c r="J173" s="158" t="str"/>
      <x:c r="K173" s="158" t="str"/>
      <x:c r="L173" s="158" t="str"/>
    </x:row>
    <x:row r="174" ht="34" customHeight="1">
      <x:c r="A174" s="244" t="str"/>
      <x:c r="B174" s="158" t="str"/>
      <x:c r="C174" s="158" t="str"/>
      <x:c r="D174" s="158" t="str"/>
      <x:c r="E174" s="158" t="str"/>
      <x:c r="F174" s="158" t="str"/>
      <x:c r="G174" s="158" t="str"/>
      <x:c r="H174" s="158" t="str"/>
      <x:c r="I174" s="158" t="str"/>
      <x:c r="J174" s="158" t="str"/>
      <x:c r="K174" s="158" t="str"/>
      <x:c r="L174" s="158" t="str"/>
    </x:row>
    <x:row r="175" ht="34" customHeight="1">
      <x:c r="A175" s="244" t="str"/>
      <x:c r="B175" s="158" t="str"/>
      <x:c r="C175" s="158" t="str"/>
      <x:c r="D175" s="158" t="str"/>
      <x:c r="E175" s="158" t="str"/>
      <x:c r="F175" s="158" t="str"/>
      <x:c r="G175" s="158" t="str"/>
      <x:c r="H175" s="158" t="str"/>
      <x:c r="I175" s="158" t="str"/>
      <x:c r="J175" s="158" t="str"/>
      <x:c r="K175" s="158" t="str"/>
      <x:c r="L175" s="158" t="str"/>
    </x:row>
    <x:row r="176" ht="34" customHeight="1">
      <x:c r="A176" s="244" t="str"/>
      <x:c r="B176" s="158" t="str"/>
      <x:c r="C176" s="158" t="str"/>
      <x:c r="D176" s="158" t="str"/>
      <x:c r="E176" s="158" t="str"/>
      <x:c r="F176" s="158" t="str"/>
      <x:c r="G176" s="158" t="str"/>
      <x:c r="H176" s="158" t="str"/>
      <x:c r="I176" s="158" t="str"/>
      <x:c r="J176" s="158" t="str"/>
      <x:c r="K176" s="158" t="str"/>
      <x:c r="L176" s="158" t="str"/>
    </x:row>
    <x:row r="177" ht="34" customHeight="1">
      <x:c r="A177" s="244" t="str"/>
      <x:c r="B177" s="158" t="str"/>
      <x:c r="C177" s="158" t="str"/>
      <x:c r="D177" s="158" t="str"/>
      <x:c r="E177" s="158" t="str"/>
      <x:c r="F177" s="158" t="str"/>
      <x:c r="G177" s="158" t="str"/>
      <x:c r="H177" s="158" t="str"/>
      <x:c r="I177" s="158" t="str"/>
      <x:c r="J177" s="158" t="str"/>
      <x:c r="K177" s="158" t="str"/>
      <x:c r="L177" s="158" t="str"/>
    </x:row>
    <x:row r="178" ht="34" customHeight="1">
      <x:c r="A178" s="244" t="str"/>
      <x:c r="B178" s="158" t="str"/>
      <x:c r="C178" s="158" t="str"/>
      <x:c r="D178" s="158" t="str"/>
      <x:c r="E178" s="158" t="str"/>
      <x:c r="F178" s="158" t="str"/>
      <x:c r="G178" s="158" t="str"/>
      <x:c r="H178" s="158" t="str"/>
      <x:c r="I178" s="158" t="str"/>
      <x:c r="J178" s="158" t="str"/>
      <x:c r="K178" s="158" t="str"/>
      <x:c r="L178" s="158" t="str"/>
    </x:row>
    <x:row r="179" ht="34" customHeight="1">
      <x:c r="A179" s="244" t="str"/>
      <x:c r="B179" s="158" t="str"/>
      <x:c r="C179" s="158" t="str"/>
      <x:c r="D179" s="158" t="str"/>
      <x:c r="E179" s="158" t="str"/>
      <x:c r="F179" s="158" t="str"/>
      <x:c r="G179" s="158" t="str"/>
      <x:c r="H179" s="158" t="str"/>
      <x:c r="I179" s="158" t="str"/>
      <x:c r="J179" s="158" t="str"/>
      <x:c r="K179" s="158" t="str"/>
      <x:c r="L179" s="158" t="str"/>
    </x:row>
    <x:row r="180" ht="34" customHeight="1">
      <x:c r="A180" s="244" t="str"/>
      <x:c r="B180" s="158" t="str"/>
      <x:c r="C180" s="158" t="str"/>
      <x:c r="D180" s="158" t="str"/>
      <x:c r="E180" s="158" t="str"/>
      <x:c r="F180" s="158" t="str"/>
      <x:c r="G180" s="158" t="str"/>
      <x:c r="H180" s="158" t="str"/>
      <x:c r="I180" s="158" t="str"/>
      <x:c r="J180" s="158" t="str"/>
      <x:c r="K180" s="158" t="str"/>
      <x:c r="L180" s="158" t="str"/>
    </x:row>
    <x:row r="181" ht="34" customHeight="1">
      <x:c r="A181" s="244" t="str"/>
      <x:c r="B181" s="158" t="str"/>
      <x:c r="C181" s="158" t="str"/>
      <x:c r="D181" s="158" t="str"/>
      <x:c r="E181" s="158" t="str"/>
      <x:c r="F181" s="158" t="str"/>
      <x:c r="G181" s="158" t="str"/>
      <x:c r="H181" s="158" t="str"/>
      <x:c r="I181" s="158" t="str"/>
      <x:c r="J181" s="158" t="str"/>
      <x:c r="K181" s="158" t="str"/>
      <x:c r="L181" s="158" t="str"/>
    </x:row>
    <x:row r="182" ht="34" customHeight="1">
      <x:c r="A182" s="244" t="str"/>
      <x:c r="B182" s="158" t="str"/>
      <x:c r="C182" s="158" t="str"/>
      <x:c r="D182" s="158" t="str"/>
      <x:c r="E182" s="158" t="str"/>
      <x:c r="F182" s="158" t="str"/>
      <x:c r="G182" s="158" t="str"/>
      <x:c r="H182" s="158" t="str"/>
      <x:c r="I182" s="158" t="str"/>
      <x:c r="J182" s="158" t="str"/>
      <x:c r="K182" s="158" t="str"/>
      <x:c r="L182" s="158" t="str"/>
    </x:row>
    <x:row r="183" ht="34" customHeight="1">
      <x:c r="A183" s="244" t="str"/>
      <x:c r="B183" s="158" t="str"/>
      <x:c r="C183" s="158" t="str"/>
      <x:c r="D183" s="158" t="str"/>
      <x:c r="E183" s="158" t="str"/>
      <x:c r="F183" s="158" t="str"/>
      <x:c r="G183" s="158" t="str"/>
      <x:c r="H183" s="158" t="str"/>
      <x:c r="I183" s="158" t="str"/>
      <x:c r="J183" s="158" t="str"/>
      <x:c r="K183" s="158" t="str"/>
      <x:c r="L183" s="158" t="str"/>
    </x:row>
    <x:row r="184" ht="34" customHeight="1">
      <x:c r="A184" s="244" t="str"/>
      <x:c r="B184" s="158" t="str"/>
      <x:c r="C184" s="158" t="str"/>
      <x:c r="D184" s="158" t="str"/>
      <x:c r="E184" s="158" t="str"/>
      <x:c r="F184" s="158" t="str"/>
      <x:c r="G184" s="158" t="str"/>
      <x:c r="H184" s="158" t="str"/>
      <x:c r="I184" s="158" t="str"/>
      <x:c r="J184" s="158" t="str"/>
      <x:c r="K184" s="158" t="str"/>
      <x:c r="L184" s="158" t="str"/>
    </x:row>
    <x:row r="185" ht="34" customHeight="1">
      <x:c r="A185" s="244" t="str"/>
      <x:c r="B185" s="158" t="str"/>
      <x:c r="C185" s="158" t="str"/>
      <x:c r="D185" s="158" t="str"/>
      <x:c r="E185" s="158" t="str"/>
      <x:c r="F185" s="158" t="str"/>
      <x:c r="G185" s="158" t="str"/>
      <x:c r="H185" s="158" t="str"/>
      <x:c r="I185" s="158" t="str"/>
      <x:c r="J185" s="158" t="str"/>
      <x:c r="K185" s="158" t="str"/>
      <x:c r="L185" s="158" t="str"/>
    </x:row>
    <x:row r="186" ht="34" customHeight="1">
      <x:c r="A186" s="244" t="str"/>
      <x:c r="B186" s="158" t="str"/>
      <x:c r="C186" s="158" t="str"/>
      <x:c r="D186" s="158" t="str"/>
      <x:c r="E186" s="158" t="str"/>
      <x:c r="F186" s="158" t="str"/>
      <x:c r="G186" s="158" t="str"/>
      <x:c r="H186" s="158" t="str"/>
      <x:c r="I186" s="158" t="str"/>
      <x:c r="J186" s="158" t="str"/>
      <x:c r="K186" s="158" t="str"/>
      <x:c r="L186" s="158" t="str"/>
    </x:row>
    <x:row r="187" ht="34" customHeight="1">
      <x:c r="A187" s="244" t="str"/>
      <x:c r="B187" s="158" t="str"/>
      <x:c r="C187" s="158" t="str"/>
      <x:c r="D187" s="158" t="str"/>
      <x:c r="E187" s="158" t="str"/>
      <x:c r="F187" s="158" t="str"/>
      <x:c r="G187" s="158" t="str"/>
      <x:c r="H187" s="158" t="str"/>
      <x:c r="I187" s="158" t="str"/>
      <x:c r="J187" s="158" t="str"/>
      <x:c r="K187" s="158" t="str"/>
      <x:c r="L187" s="158" t="str"/>
    </x:row>
    <x:row r="188" ht="34" customHeight="1">
      <x:c r="A188" s="244" t="str"/>
      <x:c r="B188" s="158" t="str"/>
      <x:c r="C188" s="158" t="str"/>
      <x:c r="D188" s="158" t="str"/>
      <x:c r="E188" s="158" t="str"/>
      <x:c r="F188" s="158" t="str"/>
      <x:c r="G188" s="158" t="str"/>
      <x:c r="H188" s="158" t="str"/>
      <x:c r="I188" s="158" t="str"/>
      <x:c r="J188" s="158" t="str"/>
      <x:c r="K188" s="158" t="str"/>
      <x:c r="L188" s="158" t="str"/>
    </x:row>
    <x:row r="189" ht="34" customHeight="1">
      <x:c r="A189" s="244" t="str"/>
      <x:c r="B189" s="158" t="str"/>
      <x:c r="C189" s="158" t="str"/>
      <x:c r="D189" s="158" t="str"/>
      <x:c r="E189" s="158" t="str"/>
      <x:c r="F189" s="158" t="str"/>
      <x:c r="G189" s="158" t="str"/>
      <x:c r="H189" s="158" t="str"/>
      <x:c r="I189" s="158" t="str"/>
      <x:c r="J189" s="158" t="str"/>
      <x:c r="K189" s="158" t="str"/>
      <x:c r="L189" s="158" t="str"/>
    </x:row>
    <x:row r="190" ht="34" customHeight="1">
      <x:c r="A190" s="244" t="str"/>
      <x:c r="B190" s="158" t="str"/>
      <x:c r="C190" s="158" t="str"/>
      <x:c r="D190" s="158" t="str"/>
      <x:c r="E190" s="158" t="str"/>
      <x:c r="F190" s="158" t="str"/>
      <x:c r="G190" s="158" t="str"/>
      <x:c r="H190" s="158" t="str"/>
      <x:c r="I190" s="158" t="str"/>
      <x:c r="J190" s="158" t="str"/>
      <x:c r="K190" s="158" t="str"/>
      <x:c r="L190" s="158" t="str"/>
    </x:row>
    <x:row r="191" ht="34" customHeight="1">
      <x:c r="A191" s="244" t="str"/>
      <x:c r="B191" s="158" t="str"/>
      <x:c r="C191" s="158" t="str"/>
      <x:c r="D191" s="158" t="str"/>
      <x:c r="E191" s="158" t="str"/>
      <x:c r="F191" s="158" t="str"/>
      <x:c r="G191" s="158" t="str"/>
      <x:c r="H191" s="158" t="str"/>
      <x:c r="I191" s="158" t="str"/>
      <x:c r="J191" s="158" t="str"/>
      <x:c r="K191" s="158" t="str"/>
      <x:c r="L191" s="158" t="str"/>
    </x:row>
    <x:row r="192" ht="34" customHeight="1">
      <x:c r="A192" s="244" t="str"/>
      <x:c r="B192" s="158" t="str"/>
      <x:c r="C192" s="158" t="str"/>
      <x:c r="D192" s="158" t="str"/>
      <x:c r="E192" s="158" t="str"/>
      <x:c r="F192" s="158" t="str"/>
      <x:c r="G192" s="158" t="str"/>
      <x:c r="H192" s="158" t="str"/>
      <x:c r="I192" s="158" t="str"/>
      <x:c r="J192" s="158" t="str"/>
      <x:c r="K192" s="158" t="str"/>
      <x:c r="L192" s="158" t="str"/>
    </x:row>
    <x:row r="193" ht="34" customHeight="1">
      <x:c r="A193" s="244" t="str"/>
      <x:c r="B193" s="158" t="str"/>
      <x:c r="C193" s="158" t="str"/>
      <x:c r="D193" s="158" t="str"/>
      <x:c r="E193" s="158" t="str"/>
      <x:c r="F193" s="158" t="str"/>
      <x:c r="G193" s="158" t="str"/>
      <x:c r="H193" s="158" t="str"/>
      <x:c r="I193" s="158" t="str"/>
      <x:c r="J193" s="158" t="str"/>
      <x:c r="K193" s="158" t="str"/>
      <x:c r="L193" s="158" t="str"/>
    </x:row>
    <x:row r="194" ht="34" customHeight="1">
      <x:c r="A194" s="244" t="str"/>
      <x:c r="B194" s="158" t="str"/>
      <x:c r="C194" s="158" t="str"/>
      <x:c r="D194" s="158" t="str"/>
      <x:c r="E194" s="158" t="str"/>
      <x:c r="F194" s="158" t="str"/>
      <x:c r="G194" s="158" t="str"/>
      <x:c r="H194" s="158" t="str"/>
      <x:c r="I194" s="158" t="str"/>
      <x:c r="J194" s="158" t="str"/>
      <x:c r="K194" s="158" t="str"/>
      <x:c r="L194" s="158" t="str"/>
    </x:row>
    <x:row r="195" ht="34" customHeight="1">
      <x:c r="A195" s="244" t="str"/>
      <x:c r="B195" s="158" t="str"/>
      <x:c r="C195" s="158" t="str"/>
      <x:c r="D195" s="158" t="str"/>
      <x:c r="E195" s="158" t="str"/>
      <x:c r="F195" s="158" t="str"/>
      <x:c r="G195" s="158" t="str"/>
      <x:c r="H195" s="158" t="str"/>
      <x:c r="I195" s="158" t="str"/>
      <x:c r="J195" s="158" t="str"/>
      <x:c r="K195" s="158" t="str"/>
      <x:c r="L195" s="158" t="str"/>
    </x:row>
    <x:row r="196" ht="34" customHeight="1">
      <x:c r="A196" s="244" t="str"/>
      <x:c r="B196" s="158" t="str"/>
      <x:c r="C196" s="158" t="str"/>
      <x:c r="D196" s="158" t="str"/>
      <x:c r="E196" s="158" t="str"/>
      <x:c r="F196" s="158" t="str"/>
      <x:c r="G196" s="158" t="str"/>
      <x:c r="H196" s="158" t="str"/>
      <x:c r="I196" s="158" t="str"/>
      <x:c r="J196" s="158" t="str"/>
      <x:c r="K196" s="158" t="str"/>
      <x:c r="L196" s="158" t="str"/>
    </x:row>
    <x:row r="197" ht="34" customHeight="1">
      <x:c r="A197" s="244" t="str"/>
      <x:c r="B197" s="158" t="str"/>
      <x:c r="C197" s="158" t="str"/>
      <x:c r="D197" s="158" t="str"/>
      <x:c r="E197" s="158" t="str"/>
      <x:c r="F197" s="158" t="str"/>
      <x:c r="G197" s="158" t="str"/>
      <x:c r="H197" s="158" t="str"/>
      <x:c r="I197" s="158" t="str"/>
      <x:c r="J197" s="158" t="str"/>
      <x:c r="K197" s="158" t="str"/>
      <x:c r="L197" s="158" t="str"/>
    </x:row>
    <x:row r="198" ht="34" customHeight="1">
      <x:c r="A198" s="244" t="str"/>
      <x:c r="B198" s="158" t="str"/>
      <x:c r="C198" s="158" t="str"/>
      <x:c r="D198" s="158" t="str"/>
      <x:c r="E198" s="158" t="str"/>
      <x:c r="F198" s="158" t="str"/>
      <x:c r="G198" s="158" t="str"/>
      <x:c r="H198" s="158" t="str"/>
      <x:c r="I198" s="158" t="str"/>
      <x:c r="J198" s="158" t="str"/>
      <x:c r="K198" s="158" t="str"/>
      <x:c r="L198" s="158" t="str"/>
    </x:row>
    <x:row r="199" ht="34" customHeight="1">
      <x:c r="A199" s="244" t="str"/>
      <x:c r="B199" s="158" t="str"/>
      <x:c r="C199" s="158" t="str"/>
      <x:c r="D199" s="158" t="str"/>
      <x:c r="E199" s="158" t="str"/>
      <x:c r="F199" s="158" t="str"/>
      <x:c r="G199" s="158" t="str"/>
      <x:c r="H199" s="158" t="str"/>
      <x:c r="I199" s="158" t="str"/>
      <x:c r="J199" s="158" t="str"/>
      <x:c r="K199" s="158" t="str"/>
      <x:c r="L199" s="158" t="str"/>
    </x:row>
    <x:row r="200" ht="34" customHeight="1">
      <x:c r="A200" s="244" t="str"/>
      <x:c r="B200" s="158" t="str"/>
      <x:c r="C200" s="158" t="str"/>
      <x:c r="D200" s="158" t="str"/>
      <x:c r="E200" s="158" t="str"/>
      <x:c r="F200" s="158" t="str"/>
      <x:c r="G200" s="158" t="str"/>
      <x:c r="H200" s="158" t="str"/>
      <x:c r="I200" s="158" t="str"/>
      <x:c r="J200" s="158" t="str"/>
      <x:c r="K200" s="158" t="str"/>
      <x:c r="L200" s="158" t="str"/>
    </x:row>
    <x:row r="201" ht="34" customHeight="1">
      <x:c r="A201" s="244" t="str"/>
      <x:c r="B201" s="158" t="str"/>
      <x:c r="C201" s="158" t="str"/>
      <x:c r="D201" s="158" t="str"/>
      <x:c r="E201" s="158" t="str"/>
      <x:c r="F201" s="158" t="str"/>
      <x:c r="G201" s="158" t="str"/>
      <x:c r="H201" s="158" t="str"/>
      <x:c r="I201" s="158" t="str"/>
      <x:c r="J201" s="158" t="str"/>
      <x:c r="K201" s="158" t="str"/>
      <x:c r="L201" s="158" t="str"/>
    </x:row>
    <x:row r="202" ht="34" customHeight="1">
      <x:c r="A202" s="244" t="str"/>
      <x:c r="B202" s="158" t="str"/>
      <x:c r="C202" s="158" t="str"/>
      <x:c r="D202" s="158" t="str"/>
      <x:c r="E202" s="158" t="str"/>
      <x:c r="F202" s="158" t="str"/>
      <x:c r="G202" s="158" t="str"/>
      <x:c r="H202" s="158" t="str"/>
      <x:c r="I202" s="158" t="str"/>
      <x:c r="J202" s="158" t="str"/>
      <x:c r="K202" s="158" t="str"/>
      <x:c r="L202" s="158" t="str"/>
    </x:row>
    <x:row r="203" ht="34" customHeight="1">
      <x:c r="A203" s="244" t="str"/>
      <x:c r="B203" s="158" t="str"/>
      <x:c r="C203" s="158" t="str"/>
      <x:c r="D203" s="158" t="str"/>
      <x:c r="E203" s="158" t="str"/>
      <x:c r="F203" s="158" t="str"/>
      <x:c r="G203" s="158" t="str"/>
      <x:c r="H203" s="158" t="str"/>
      <x:c r="I203" s="158" t="str"/>
      <x:c r="J203" s="158" t="str"/>
      <x:c r="K203" s="158" t="str"/>
      <x:c r="L203" s="158" t="str"/>
    </x:row>
    <x:row r="204" ht="34" customHeight="1">
      <x:c r="A204" s="244" t="str"/>
      <x:c r="B204" s="158" t="str"/>
      <x:c r="C204" s="158" t="str"/>
      <x:c r="D204" s="158" t="str"/>
      <x:c r="E204" s="158" t="str"/>
      <x:c r="F204" s="158" t="str"/>
      <x:c r="G204" s="158" t="str"/>
      <x:c r="H204" s="158" t="str"/>
      <x:c r="I204" s="158" t="str"/>
      <x:c r="J204" s="158" t="str"/>
      <x:c r="K204" s="158" t="str"/>
      <x:c r="L204" s="158" t="str"/>
    </x:row>
  </x:sheetData>
  <x:mergeCells>
    <x:mergeCell ref="A1:L1"/>
    <x:mergeCell ref="A2:L2"/>
  </x:mergeCells>
  <x:dataValidations count="3">
    <x:dataValidation type="whole" operator="between" sqref="B5:B204">
      <x:formula1>1</x:formula1>
      <x:formula2>39</x:formula2>
    </x:dataValidation>
    <x:dataValidation type="decimal" operator="between" sqref="E5:E204">
      <x:formula1>0</x:formula1>
      <x:formula2>24</x:formula2>
    </x:dataValidation>
    <x:dataValidation type="whole" operator="between" sqref="K5:L204">
      <x:formula1>1</x:formula1>
      <x:formula2>5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4" hidden="0" customWidth="1"/>
    <x:col min="4" max="4" width="8" hidden="0" customWidth="1"/>
    <x:col min="5" max="5" width="31" hidden="0" customWidth="1"/>
    <x:col min="6" max="6" width="48" hidden="0" customWidth="1"/>
    <x:col min="7" max="7" width="50" hidden="0" customWidth="1"/>
    <x:col min="8" max="8" width="8" hidden="0" customWidth="1"/>
    <x:col min="9" max="9" width="45" hidden="0" customWidth="1"/>
    <x:col min="10" max="10" width="31" hidden="0" customWidth="1"/>
    <x:col min="11" max="11" width="43" hidden="0" customWidth="1"/>
    <x:col min="12" max="12" width="14" hidden="0" customWidth="1"/>
    <x:col min="13" max="13" width="26" hidden="0" customWidth="1"/>
  </x:cols>
  <x:sheetData>
    <x:row r="1" ht="28" customHeight="1">
      <x:c r="A1" s="396" t="str">
        <x:v>HỌC CHI TIẾT – MỞ ĐÚNG LINK, ĐỌC ĐÚNG MỤC, LÀM ĐÚNG BÀI</x:v>
      </x:c>
      <x:c r="B1" s="396"/>
      <x:c r="C1" s="396"/>
      <x:c r="D1" s="396"/>
      <x:c r="E1" s="396"/>
      <x:c r="F1" s="396"/>
      <x:c r="G1" s="396"/>
      <x:c r="H1" s="396"/>
      <x:c r="I1" s="396"/>
      <x:c r="J1" s="396"/>
      <x:c r="K1" s="396"/>
      <x:c r="L1" s="396"/>
      <x:c r="M1" s="396"/>
    </x:row>
    <x:row r="2" ht="28" customHeight="1">
      <x:c r="A2" s="397" t="str">
        <x:v>Đây là trang bắt đầu học. Lọc cột Tuần, rồi làm theo Thứ tự từ 1 trở đi; không cần đọc toàn bộ trang tài liệu.</x:v>
      </x:c>
      <x:c r="B2" s="397"/>
      <x:c r="C2" s="397"/>
      <x:c r="D2" s="397"/>
      <x:c r="E2" s="397"/>
      <x:c r="F2" s="397"/>
      <x:c r="G2" s="397"/>
      <x:c r="H2" s="397"/>
      <x:c r="I2" s="397"/>
      <x:c r="J2" s="397"/>
      <x:c r="K2" s="397"/>
      <x:c r="L2" s="397"/>
      <x:c r="M2" s="397"/>
    </x:row>
    <x:row r="3" ht="38" customHeight="1">
      <x:c r="A3" s="398" t="str">
        <x:v>CÁCH DÙNG</x:v>
      </x:c>
      <x:c r="B3" s="399" t="str">
        <x:v>1</x:v>
      </x:c>
      <x:c r="C3" s="399" t="str">
        <x:v>Chỉ mở link ở cột F</x:v>
      </x:c>
      <x:c r="D3" s="399" t="str">
        <x:v>2</x:v>
      </x:c>
      <x:c r="E3" s="399" t="str">
        <x:v>Chỉ đọc đúng mục ở cột G</x:v>
      </x:c>
      <x:c r="F3" s="399" t="str">
        <x:v>3</x:v>
      </x:c>
      <x:c r="G3" s="399" t="str">
        <x:v>Làm bài ở cột I ngay sau khi đọc</x:v>
      </x:c>
      <x:c r="H3" s="399" t="str">
        <x:v>4</x:v>
      </x:c>
      <x:c r="I3" s="399" t="str">
        <x:v>Lưu đầu ra ở cột J</x:v>
      </x:c>
      <x:c r="J3" s="399" t="str">
        <x:v>QUY TẮC</x:v>
      </x:c>
      <x:c r="K3" s="399" t="str">
        <x:v>Bí tối đa 30 phút trước khi thu nhỏ bài toán</x:v>
      </x:c>
      <x:c r="L3" s="399" t="str"/>
      <x:c r="M3" s="400" t="str"/>
    </x:row>
    <x:row r="4" ht="38" customHeight="1">
      <x:c r="A4" s="401" t="str">
        <x:v>NHỊP TUẦN</x:v>
      </x:c>
      <x:c r="B4" s="402" t="str">
        <x:v>Buổi 1</x:v>
      </x:c>
      <x:c r="C4" s="402" t="str">
        <x:v>Thứ 2 hoặc 3</x:v>
      </x:c>
      <x:c r="D4" s="402" t="str">
        <x:v>Buổi 2</x:v>
      </x:c>
      <x:c r="E4" s="402" t="str">
        <x:v>Thứ 4 hoặc 5</x:v>
      </x:c>
      <x:c r="F4" s="402" t="str">
        <x:v>Buổi 3+</x:v>
      </x:c>
      <x:c r="G4" s="402" t="str">
        <x:v>Cuối tuần</x:v>
      </x:c>
      <x:c r="H4" s="402" t="str">
        <x:v>MỤC TIÊU</x:v>
      </x:c>
      <x:c r="I4" s="402" t="str">
        <x:v>Hoàn thành bài học trước khi quay lại trang 03 làm dự án</x:v>
      </x:c>
      <x:c r="J4" s="402" t="str"/>
      <x:c r="K4" s="402" t="str"/>
      <x:c r="L4" s="402" t="str"/>
      <x:c r="M4" s="403" t="str"/>
    </x:row>
    <x:row r="5" ht="38" customHeight="1">
      <x:c r="A5" s="404" t="str">
        <x:v>KHI CONFUSE</x:v>
      </x:c>
      <x:c r="B5" s="405" t="str">
        <x:v>Dừng</x:v>
      </x:c>
      <x:c r="C5" s="405" t="str">
        <x:v>Không mở thêm 5 link khác</x:v>
      </x:c>
      <x:c r="D5" s="405" t="str">
        <x:v>Thu nhỏ</x:v>
      </x:c>
      <x:c r="E5" s="405" t="str">
        <x:v>Tạo ví dụ chạy được trong 15–30 phút</x:v>
      </x:c>
      <x:c r="F5" s="405" t="str">
        <x:v>Ghi câu hỏi</x:v>
      </x:c>
      <x:c r="G5" s="405" t="str">
        <x:v>Câu hỏi phải nêu input, output mong đợi và lỗi hiện tại</x:v>
      </x:c>
      <x:c r="H5" s="405" t="str">
        <x:v>SAU ĐÓ</x:v>
      </x:c>
      <x:c r="I5" s="405" t="str">
        <x:v>Đánh dấu “Cần xem lại” và tiếp tục phần có thể làm</x:v>
      </x:c>
      <x:c r="J5" s="405" t="str"/>
      <x:c r="K5" s="405" t="str"/>
      <x:c r="L5" s="405" t="str"/>
      <x:c r="M5" s="406" t="str"/>
    </x:row>
    <x:row r="7" ht="42" customHeight="1">
      <x:c r="A7" s="407" t="str">
        <x:v>Tuần</x:v>
      </x:c>
      <x:c r="B7" s="408" t="str">
        <x:v>Ngày bắt đầu</x:v>
      </x:c>
      <x:c r="C7" s="408" t="str">
        <x:v>Chủ đề tuần</x:v>
      </x:c>
      <x:c r="D7" s="408" t="str">
        <x:v>Thứ tự</x:v>
      </x:c>
      <x:c r="E7" s="408" t="str">
        <x:v>Bài học cụ thể</x:v>
      </x:c>
      <x:c r="F7" s="408" t="str">
        <x:v>Mở link này</x:v>
      </x:c>
      <x:c r="G7" s="408" t="str">
        <x:v>Chỉ đọc phần này</x:v>
      </x:c>
      <x:c r="H7" s="408" t="str">
        <x:v>Giờ</x:v>
      </x:c>
      <x:c r="I7" s="408" t="str">
        <x:v>Làm ngay sau khi đọc</x:v>
      </x:c>
      <x:c r="J7" s="408" t="str">
        <x:v>Đầu ra bắt buộc</x:v>
      </x:c>
      <x:c r="K7" s="408" t="str">
        <x:v>Khi bị bí</x:v>
      </x:c>
      <x:c r="L7" s="408" t="str">
        <x:v>Trạng thái</x:v>
      </x:c>
      <x:c r="M7" s="409" t="str">
        <x:v>Ghi chú</x:v>
      </x:c>
    </x:row>
    <x:row r="8" ht="78" customHeight="1">
      <x:c r="A8" s="24" t="n">
        <x:v>1</x:v>
      </x:c>
      <x:c r="B8" s="26" t="n">
        <x:f>'02 Lộ trình 39 tuần'!G5</x:f>
        <x:v>46230</x:v>
      </x:c>
      <x:c r="C8" s="24" t="str">
        <x:v>Java hiện đại và baseline</x:v>
      </x:c>
      <x:c r="D8" s="24" t="n">
        <x:v>1</x:v>
      </x:c>
      <x:c r="E8" s="24" t="str">
        <x:v>Record để mô hình hóa Money</x:v>
      </x:c>
      <x:c r="F8" s="24" t="str">
        <x:v>https://dev.java/learn/records/</x:v>
      </x:c>
      <x:c r="G8" s="24" t="str">
        <x:v>Đọc từ đầu đến hết mục “Calling the Canonical Constructor”; chú ý compact constructor và defensive copy.</x:v>
      </x:c>
      <x:c r="H8" s="298" t="n">
        <x:v>1.5</x:v>
      </x:c>
      <x:c r="I8" s="24" t="str">
        <x:v>Tạo record Money(BigDecimal amount, Currency currency); chặn null, scale sai và số âm.</x:v>
      </x:c>
      <x:c r="J8" s="24" t="str">
        <x:v>Money.java + 6 unit tests</x:v>
      </x:c>
      <x:c r="K8" s="24" t="str">
        <x:v>Đọc lại ví dụ ngay trên trang; ghi câu hỏi cụ thể vào cột Ghi chú; sau 30 phút vẫn bí thì tạo ví dụ nhỏ nhất có thể chạy được.</x:v>
      </x:c>
      <x:c r="L8" s="24" t="str">
        <x:v>Chưa học</x:v>
      </x:c>
      <x:c r="M8" s="24" t="str"/>
    </x:row>
    <x:row r="9" ht="78" customHeight="1">
      <x:c r="A9" s="25" t="n">
        <x:v>1</x:v>
      </x:c>
      <x:c r="B9" s="196" t="n">
        <x:f>'02 Lộ trình 39 tuần'!G5</x:f>
        <x:v>46230</x:v>
      </x:c>
      <x:c r="C9" s="25" t="str">
        <x:v>Java hiện đại và baseline</x:v>
      </x:c>
      <x:c r="D9" s="25" t="n">
        <x:v>2</x:v>
      </x:c>
      <x:c r="E9" s="25" t="str">
        <x:v>Pattern matching cho trạng thái giao dịch</x:v>
      </x:c>
      <x:c r="F9" s="25" t="str">
        <x:v>https://dev.java/learn/pattern-matching/</x:v>
      </x:c>
      <x:c r="G9" s="25" t="str">
        <x:v>Chỉ đọc các mục Pattern Matching for instanceof, switch và record patterns.</x:v>
      </x:c>
      <x:c r="H9" s="299" t="n">
        <x:v>1.5</x:v>
      </x:c>
      <x:c r="I9" s="25" t="str">
        <x:v>Tạo TransferResult gồm Success/Rejected/Failed; dùng switch để sinh thông điệp kết quả.</x:v>
      </x:c>
      <x:c r="J9" s="25" t="str">
        <x:v>TransferResult.java + 4 tests</x:v>
      </x:c>
      <x:c r="K9" s="25" t="str">
        <x:v>Đọc lại ví dụ ngay trên trang; ghi câu hỏi cụ thể vào cột Ghi chú; sau 30 phút vẫn bí thì tạo ví dụ nhỏ nhất có thể chạy được.</x:v>
      </x:c>
      <x:c r="L9" s="25" t="str">
        <x:v>Chưa học</x:v>
      </x:c>
      <x:c r="M9" s="25" t="str"/>
    </x:row>
    <x:row r="10" ht="78" customHeight="1">
      <x:c r="A10" s="25" t="n">
        <x:v>1</x:v>
      </x:c>
      <x:c r="B10" s="196" t="n">
        <x:f>'02 Lộ trình 39 tuần'!G5</x:f>
        <x:v>46230</x:v>
      </x:c>
      <x:c r="C10" s="25" t="str">
        <x:v>Java hiện đại và baseline</x:v>
      </x:c>
      <x:c r="D10" s="25" t="n">
        <x:v>3</x:v>
      </x:c>
      <x:c r="E10" s="25" t="str">
        <x:v>JUnit 5: cấu trúc một test tốt</x:v>
      </x:c>
      <x:c r="F10" s="25" t="str">
        <x:v>https://junit.org/junit5/docs/current/user-guide/#writing-tests</x:v>
      </x:c>
      <x:c r="G10" s="25" t="str">
        <x:v>Đọc Assertions, Grouped Assertions, Exception Testing và Parameterized Tests.</x:v>
      </x:c>
      <x:c r="H10" s="299" t="n">
        <x:v>1.5</x:v>
      </x:c>
      <x:c r="I10" s="25" t="str">
        <x:v>Viết thêm test biên cho Money và TransferResult; đặt tên theo Given_When_Then.</x:v>
      </x:c>
      <x:c r="J10" s="25" t="str">
        <x:v>Tổng ≥10 tests xanh + ảnh/chụp log test</x:v>
      </x:c>
      <x:c r="K10" s="25" t="str">
        <x:v>Đọc lại ví dụ ngay trên trang; ghi câu hỏi cụ thể vào cột Ghi chú; sau 30 phút vẫn bí thì tạo ví dụ nhỏ nhất có thể chạy được.</x:v>
      </x:c>
      <x:c r="L10" s="25" t="str">
        <x:v>Chưa học</x:v>
      </x:c>
      <x:c r="M10" s="25" t="str"/>
    </x:row>
    <x:row r="11" ht="78" customHeight="1">
      <x:c r="A11" s="410" t="n">
        <x:v>2</x:v>
      </x:c>
      <x:c r="B11" s="411" t="n">
        <x:f>'02 Lộ trình 39 tuần'!G6</x:f>
        <x:v>46237</x:v>
      </x:c>
      <x:c r="C11" s="410" t="str">
        <x:v>Collections, Stream và bất biến</x:v>
      </x:c>
      <x:c r="D11" s="410" t="n">
        <x:v>1</x:v>
      </x:c>
      <x:c r="E11" s="410" t="str">
        <x:v>Chọn đúng List, Set, Map</x:v>
      </x:c>
      <x:c r="F11" s="410" t="str">
        <x:v>https://dev.java/learn/api/collections-framework/</x:v>
      </x:c>
      <x:c r="G11" s="410" t="str">
        <x:v>Đọc Overview, Collection hierarchy và phần Choosing a Collection Implementation.</x:v>
      </x:c>
      <x:c r="H11" s="412" t="n">
        <x:v>1.5</x:v>
      </x:c>
      <x:c r="I11" s="410" t="str">
        <x:v>Viết bảng chọn collection cho lịch sử giao dịch, mã giao dịch duy nhất và số dư theo accountId.</x:v>
      </x:c>
      <x:c r="J11" s="410" t="str">
        <x:v>collections-decision.md</x:v>
      </x:c>
      <x:c r="K11" s="410" t="str">
        <x:v>Đọc lại ví dụ ngay trên trang; ghi câu hỏi cụ thể vào cột Ghi chú; sau 30 phút vẫn bí thì tạo ví dụ nhỏ nhất có thể chạy được.</x:v>
      </x:c>
      <x:c r="L11" s="410" t="str">
        <x:v>Chưa học</x:v>
      </x:c>
      <x:c r="M11" s="410" t="str"/>
    </x:row>
    <x:row r="12" ht="78" customHeight="1">
      <x:c r="A12" s="410" t="n">
        <x:v>2</x:v>
      </x:c>
      <x:c r="B12" s="411" t="n">
        <x:f>'02 Lộ trình 39 tuần'!G6</x:f>
        <x:v>46237</x:v>
      </x:c>
      <x:c r="C12" s="410" t="str">
        <x:v>Collections, Stream và bất biến</x:v>
      </x:c>
      <x:c r="D12" s="410" t="n">
        <x:v>2</x:v>
      </x:c>
      <x:c r="E12" s="410" t="str">
        <x:v>Stream pipeline không side effect</x:v>
      </x:c>
      <x:c r="F12" s="410" t="str">
        <x:v>https://dev.java/learn/api/streams/</x:v>
      </x:c>
      <x:c r="G12" s="410" t="str">
        <x:v>Đọc map/filter/reduce, terminal operations, collect và parallel stream caveats.</x:v>
      </x:c>
      <x:c r="H12" s="412" t="n">
        <x:v>1.75</x:v>
      </x:c>
      <x:c r="I12" s="410" t="str">
        <x:v>Từ danh sách giao dịch: lọc SUCCESS, nhóm theo tài khoản, tính tổng BigDecimal và top 5.</x:v>
      </x:c>
      <x:c r="J12" s="410" t="str">
        <x:v>TransactionAnalytics.java + 8 tests</x:v>
      </x:c>
      <x:c r="K12" s="410" t="str">
        <x:v>Đọc lại ví dụ ngay trên trang; ghi câu hỏi cụ thể vào cột Ghi chú; sau 30 phút vẫn bí thì tạo ví dụ nhỏ nhất có thể chạy được.</x:v>
      </x:c>
      <x:c r="L12" s="410" t="str">
        <x:v>Chưa học</x:v>
      </x:c>
      <x:c r="M12" s="410" t="str"/>
    </x:row>
    <x:row r="13" ht="78" customHeight="1">
      <x:c r="A13" s="410" t="n">
        <x:v>2</x:v>
      </x:c>
      <x:c r="B13" s="411" t="n">
        <x:f>'02 Lộ trình 39 tuần'!G6</x:f>
        <x:v>46237</x:v>
      </x:c>
      <x:c r="C13" s="410" t="str">
        <x:v>Collections, Stream và bất biến</x:v>
      </x:c>
      <x:c r="D13" s="410" t="n">
        <x:v>3</x:v>
      </x:c>
      <x:c r="E13" s="410" t="str">
        <x:v>Optional đúng chỗ</x:v>
      </x:c>
      <x:c r="F13" s="410" t="str">
        <x:v>https://docs.oracle.com/en/java/javase/21/docs/api/java.base/java/util/Optional.html</x:v>
      </x:c>
      <x:c r="G13" s="410" t="str">
        <x:v>Đọc API của of/ofNullable/empty/map/flatMap/orElseGet/orElseThrow; không cần đọc toàn bộ method list.</x:v>
      </x:c>
      <x:c r="H13" s="412" t="n">
        <x:v>1</x:v>
      </x:c>
      <x:c r="I13" s="410" t="str">
        <x:v>Refactor hàm tìm giao dịch trả Optional; so sánh orElse với orElseGet bằng test có side effect.</x:v>
      </x:c>
      <x:c r="J13" s="410" t="str">
        <x:v>optional-notes.md + 4 tests</x:v>
      </x:c>
      <x:c r="K13" s="410" t="str">
        <x:v>Đọc lại ví dụ ngay trên trang; ghi câu hỏi cụ thể vào cột Ghi chú; sau 30 phút vẫn bí thì tạo ví dụ nhỏ nhất có thể chạy được.</x:v>
      </x:c>
      <x:c r="L13" s="410" t="str">
        <x:v>Chưa học</x:v>
      </x:c>
      <x:c r="M13" s="410" t="str"/>
    </x:row>
    <x:row r="14" ht="78" customHeight="1">
      <x:c r="A14" s="25" t="n">
        <x:v>3</x:v>
      </x:c>
      <x:c r="B14" s="196" t="n">
        <x:f>'02 Lộ trình 39 tuần'!G7</x:f>
        <x:v>46244</x:v>
      </x:c>
      <x:c r="C14" s="25" t="str">
        <x:v>Concurrency và virtual thread</x:v>
      </x:c>
      <x:c r="D14" s="25" t="n">
        <x:v>1</x:v>
      </x:c>
      <x:c r="E14" s="25" t="str">
        <x:v>Nhận diện race condition</x:v>
      </x:c>
      <x:c r="F14" s="25" t="str">
        <x:v>https://docs.oracle.com/en/java/javase/21/docs/api/java.base/java/util/concurrent/CompletableFuture.html</x:v>
      </x:c>
      <x:c r="G14" s="25" t="str">
        <x:v>Đọc phần mô tả completion stages và các method supplyAsync, thenCompose, allOf, exceptionally.</x:v>
      </x:c>
      <x:c r="H14" s="299" t="n">
        <x:v>1.5</x:v>
      </x:c>
      <x:c r="I14" s="25" t="str">
        <x:v>Tạo counter/số dư không an toàn; chạy 1.000 cập nhật để tái hiện lost update.</x:v>
      </x:c>
      <x:c r="J14" s="25" t="str">
        <x:v>RaceConditionTest.java</x:v>
      </x:c>
      <x:c r="K14" s="25" t="str">
        <x:v>Đọc lại ví dụ ngay trên trang; ghi câu hỏi cụ thể vào cột Ghi chú; sau 30 phút vẫn bí thì tạo ví dụ nhỏ nhất có thể chạy được.</x:v>
      </x:c>
      <x:c r="L14" s="25" t="str">
        <x:v>Chưa học</x:v>
      </x:c>
      <x:c r="M14" s="25" t="str"/>
    </x:row>
    <x:row r="15" ht="78" customHeight="1">
      <x:c r="A15" s="25" t="n">
        <x:v>3</x:v>
      </x:c>
      <x:c r="B15" s="196" t="n">
        <x:f>'02 Lộ trình 39 tuần'!G7</x:f>
        <x:v>46244</x:v>
      </x:c>
      <x:c r="C15" s="25" t="str">
        <x:v>Concurrency và virtual thread</x:v>
      </x:c>
      <x:c r="D15" s="25" t="n">
        <x:v>2</x:v>
      </x:c>
      <x:c r="E15" s="25" t="str">
        <x:v>CompletableFuture cho fan-out I/O</x:v>
      </x:c>
      <x:c r="F15" s="25" t="str">
        <x:v>https://docs.oracle.com/en/java/javase/21/docs/api/java.base/java/util/concurrent/CompletableFuture.html</x:v>
      </x:c>
      <x:c r="G15" s="25" t="str">
        <x:v>Tập trung thenCombine, thenCompose, allOf, orTimeout và handle.</x:v>
      </x:c>
      <x:c r="H15" s="299" t="n">
        <x:v>1.5</x:v>
      </x:c>
      <x:c r="I15" s="25" t="str">
        <x:v>Giả lập gọi balance, profile, limit song song; có timeout và gom lỗi.</x:v>
      </x:c>
      <x:c r="J15" s="25" t="str">
        <x:v>CustomerOverviewService.java + tests</x:v>
      </x:c>
      <x:c r="K15" s="25" t="str">
        <x:v>Đọc lại ví dụ ngay trên trang; ghi câu hỏi cụ thể vào cột Ghi chú; sau 30 phút vẫn bí thì tạo ví dụ nhỏ nhất có thể chạy được.</x:v>
      </x:c>
      <x:c r="L15" s="25" t="str">
        <x:v>Chưa học</x:v>
      </x:c>
      <x:c r="M15" s="25" t="str"/>
    </x:row>
    <x:row r="16" ht="78" customHeight="1">
      <x:c r="A16" s="25" t="n">
        <x:v>3</x:v>
      </x:c>
      <x:c r="B16" s="196" t="n">
        <x:f>'02 Lộ trình 39 tuần'!G7</x:f>
        <x:v>46244</x:v>
      </x:c>
      <x:c r="C16" s="25" t="str">
        <x:v>Concurrency và virtual thread</x:v>
      </x:c>
      <x:c r="D16" s="25" t="n">
        <x:v>3</x:v>
      </x:c>
      <x:c r="E16" s="25" t="str">
        <x:v>Virtual thread: khi nào nên dùng</x:v>
      </x:c>
      <x:c r="F16" s="25" t="str">
        <x:v>https://dev.java/learn/new-features/virtual-threads/</x:v>
      </x:c>
      <x:c r="G16" s="25" t="str">
        <x:v>Đọc What is a virtual thread?, Creating virtual threads và phần Do not pool virtual threads.</x:v>
      </x:c>
      <x:c r="H16" s="299" t="n">
        <x:v>1.5</x:v>
      </x:c>
      <x:c r="I16" s="25" t="str">
        <x:v>Chạy 1.000 tác vụ sleep 100ms bằng fixed pool và virtual threads; ghi thời gian và giới hạn phép đo.</x:v>
      </x:c>
      <x:c r="J16" s="25" t="str">
        <x:v>concurrency-benchmark.md + code</x:v>
      </x:c>
      <x:c r="K16" s="25" t="str">
        <x:v>Đọc lại ví dụ ngay trên trang; ghi câu hỏi cụ thể vào cột Ghi chú; sau 30 phút vẫn bí thì tạo ví dụ nhỏ nhất có thể chạy được.</x:v>
      </x:c>
      <x:c r="L16" s="25" t="str">
        <x:v>Chưa học</x:v>
      </x:c>
      <x:c r="M16" s="25" t="str"/>
    </x:row>
    <x:row r="17" ht="78" customHeight="1">
      <x:c r="A17" s="410" t="n">
        <x:v>4</x:v>
      </x:c>
      <x:c r="B17" s="411" t="n">
        <x:f>'02 Lộ trình 39 tuần'!G8</x:f>
        <x:v>46251</x:v>
      </x:c>
      <x:c r="C17" s="410" t="str">
        <x:v>JVM và phân tích hiệu năng</x:v>
      </x:c>
      <x:c r="D17" s="410" t="n">
        <x:v>1</x:v>
      </x:c>
      <x:c r="E17" s="410" t="str">
        <x:v>Tạo Java Flight Recording</x:v>
      </x:c>
      <x:c r="F17" s="410" t="str">
        <x:v>https://dev.java/learn/jvm/jfr/</x:v>
      </x:c>
      <x:c r="G17" s="410" t="str">
        <x:v>Đọc Starting a Recording, Event settings và Inspecting a recording.</x:v>
      </x:c>
      <x:c r="H17" s="412" t="n">
        <x:v>1.5</x:v>
      </x:c>
      <x:c r="I17" s="410" t="str">
        <x:v>Tạo ứng dụng cấp phát nhiều object; ghi JFR 60 giây bằng profile settings.</x:v>
      </x:c>
      <x:c r="J17" s="410" t="str">
        <x:v>recording.jfr</x:v>
      </x:c>
      <x:c r="K17" s="410" t="str">
        <x:v>Đọc lại ví dụ ngay trên trang; ghi câu hỏi cụ thể vào cột Ghi chú; sau 30 phút vẫn bí thì tạo ví dụ nhỏ nhất có thể chạy được.</x:v>
      </x:c>
      <x:c r="L17" s="410" t="str">
        <x:v>Chưa học</x:v>
      </x:c>
      <x:c r="M17" s="410" t="str"/>
    </x:row>
    <x:row r="18" ht="78" customHeight="1">
      <x:c r="A18" s="410" t="n">
        <x:v>4</x:v>
      </x:c>
      <x:c r="B18" s="411" t="n">
        <x:f>'02 Lộ trình 39 tuần'!G8</x:f>
        <x:v>46251</x:v>
      </x:c>
      <x:c r="C18" s="410" t="str">
        <x:v>JVM và phân tích hiệu năng</x:v>
      </x:c>
      <x:c r="D18" s="410" t="n">
        <x:v>2</x:v>
      </x:c>
      <x:c r="E18" s="410" t="str">
        <x:v>Đọc CPU, allocation và lock</x:v>
      </x:c>
      <x:c r="F18" s="410" t="str">
        <x:v>https://dev.java/learn/jvm/jfr/</x:v>
      </x:c>
      <x:c r="G18" s="410" t="str">
        <x:v>Chỉ đọc phần Working with events; tập trung CPU samples, allocation và monitor blocked.</x:v>
      </x:c>
      <x:c r="H18" s="412" t="n">
        <x:v>1.5</x:v>
      </x:c>
      <x:c r="I18" s="410" t="str">
        <x:v>Tìm 3 event có giá trị cao nhất; viết giả thuyết nguyên nhân trước khi sửa.</x:v>
      </x:c>
      <x:c r="J18" s="410" t="str">
        <x:v>jfr-findings.md</x:v>
      </x:c>
      <x:c r="K18" s="410" t="str">
        <x:v>Đọc lại ví dụ ngay trên trang; ghi câu hỏi cụ thể vào cột Ghi chú; sau 30 phút vẫn bí thì tạo ví dụ nhỏ nhất có thể chạy được.</x:v>
      </x:c>
      <x:c r="L18" s="410" t="str">
        <x:v>Chưa học</x:v>
      </x:c>
      <x:c r="M18" s="410" t="str"/>
    </x:row>
    <x:row r="19" ht="78" customHeight="1">
      <x:c r="A19" s="410" t="n">
        <x:v>4</x:v>
      </x:c>
      <x:c r="B19" s="411" t="n">
        <x:f>'02 Lộ trình 39 tuần'!G8</x:f>
        <x:v>46251</x:v>
      </x:c>
      <x:c r="C19" s="410" t="str">
        <x:v>JVM và phân tích hiệu năng</x:v>
      </x:c>
      <x:c r="D19" s="410" t="n">
        <x:v>3</x:v>
      </x:c>
      <x:c r="E19" s="410" t="str">
        <x:v>Đo trước–sau</x:v>
      </x:c>
      <x:c r="F19" s="410" t="str">
        <x:v>https://dev.java/learn/jvm/jfr/</x:v>
      </x:c>
      <x:c r="G19" s="410" t="str">
        <x:v>Đọc phần Event streaming ở mức tổng quan; không cần triển khai streaming.</x:v>
      </x:c>
      <x:c r="H19" s="412" t="n">
        <x:v>1.25</x:v>
      </x:c>
      <x:c r="I19" s="410" t="str">
        <x:v>Sửa một hotspot; chạy lại cùng workload 3 lần; so sánh median.</x:v>
      </x:c>
      <x:c r="J19" s="410" t="str">
        <x:v>before-after-performance.md</x:v>
      </x:c>
      <x:c r="K19" s="410" t="str">
        <x:v>Đọc lại ví dụ ngay trên trang; ghi câu hỏi cụ thể vào cột Ghi chú; sau 30 phút vẫn bí thì tạo ví dụ nhỏ nhất có thể chạy được.</x:v>
      </x:c>
      <x:c r="L19" s="410" t="str">
        <x:v>Chưa học</x:v>
      </x:c>
      <x:c r="M19" s="410" t="str"/>
    </x:row>
    <x:row r="20" ht="78" customHeight="1">
      <x:c r="A20" s="25" t="n">
        <x:v>5</x:v>
      </x:c>
      <x:c r="B20" s="196" t="n">
        <x:f>'02 Lộ trình 39 tuần'!G9</x:f>
        <x:v>46258</x:v>
      </x:c>
      <x:c r="C20" s="25" t="str">
        <x:v>Kiến trúc Spring Boot</x:v>
      </x:c>
      <x:c r="D20" s="25" t="n">
        <x:v>1</x:v>
      </x:c>
      <x:c r="E20" s="25" t="str">
        <x:v>Cấu trúc package và main application</x:v>
      </x:c>
      <x:c r="F20" s="25" t="str">
        <x:v>https://docs.spring.io/spring-boot/reference/using/structuring-your-code.html</x:v>
      </x:c>
      <x:c r="G20" s="25" t="str">
        <x:v>Đọc Using the default package và Locating the main application class.</x:v>
      </x:c>
      <x:c r="H20" s="299" t="n">
        <x:v>1.25</x:v>
      </x:c>
      <x:c r="I20" s="25" t="str">
        <x:v>Tạo skeleton theo feature: account, transfer, shared; kiểm tra chiều phụ thuộc.</x:v>
      </x:c>
      <x:c r="J20" s="25" t="str">
        <x:v>Spring Boot skeleton chạy được</x:v>
      </x:c>
      <x:c r="K20" s="25" t="str">
        <x:v>Đọc lại ví dụ ngay trên trang; ghi câu hỏi cụ thể vào cột Ghi chú; sau 30 phút vẫn bí thì tạo ví dụ nhỏ nhất có thể chạy được.</x:v>
      </x:c>
      <x:c r="L20" s="25" t="str">
        <x:v>Chưa học</x:v>
      </x:c>
      <x:c r="M20" s="25" t="str"/>
    </x:row>
    <x:row r="21" ht="78" customHeight="1">
      <x:c r="A21" s="25" t="n">
        <x:v>5</x:v>
      </x:c>
      <x:c r="B21" s="196" t="n">
        <x:f>'02 Lộ trình 39 tuần'!G9</x:f>
        <x:v>46258</x:v>
      </x:c>
      <x:c r="C21" s="25" t="str">
        <x:v>Kiến trúc Spring Boot</x:v>
      </x:c>
      <x:c r="D21" s="25" t="n">
        <x:v>2</x:v>
      </x:c>
      <x:c r="E21" s="25" t="str">
        <x:v>Dependency injection bằng constructor</x:v>
      </x:c>
      <x:c r="F21" s="25" t="str">
        <x:v>https://docs.spring.io/spring-boot/reference/using/spring-beans-and-dependency-injection.html</x:v>
      </x:c>
      <x:c r="G21" s="25" t="str">
        <x:v>Đọc từ đầu đến hết phần constructor injection; bỏ qua Kotlin.</x:v>
      </x:c>
      <x:c r="H21" s="299" t="n">
        <x:v>1.25</x:v>
      </x:c>
      <x:c r="I21" s="25" t="str">
        <x:v>Refactor service để không dùng field injection; tạo interface ở boundary cần thay thế.</x:v>
      </x:c>
      <x:c r="J21" s="25" t="str">
        <x:v>3 service dùng constructor injection</x:v>
      </x:c>
      <x:c r="K21" s="25" t="str">
        <x:v>Đọc lại ví dụ ngay trên trang; ghi câu hỏi cụ thể vào cột Ghi chú; sau 30 phút vẫn bí thì tạo ví dụ nhỏ nhất có thể chạy được.</x:v>
      </x:c>
      <x:c r="L21" s="25" t="str">
        <x:v>Chưa học</x:v>
      </x:c>
      <x:c r="M21" s="25" t="str"/>
    </x:row>
    <x:row r="22" ht="78" customHeight="1">
      <x:c r="A22" s="25" t="n">
        <x:v>5</x:v>
      </x:c>
      <x:c r="B22" s="196" t="n">
        <x:f>'02 Lộ trình 39 tuần'!G9</x:f>
        <x:v>46258</x:v>
      </x:c>
      <x:c r="C22" s="25" t="str">
        <x:v>Kiến trúc Spring Boot</x:v>
      </x:c>
      <x:c r="D22" s="25" t="n">
        <x:v>3</x:v>
      </x:c>
      <x:c r="E22" s="25" t="str">
        <x:v>ConfigurationProperties có kiểm tra kiểu</x:v>
      </x:c>
      <x:c r="F22" s="25" t="str">
        <x:v>https://docs.spring.io/spring-boot/reference/features/external-config.html</x:v>
      </x:c>
      <x:c r="G22" s="25" t="str">
        <x:v>Đọc Type-safe Configuration Properties và Validating @ConfigurationProperties.</x:v>
      </x:c>
      <x:c r="H22" s="299" t="n">
        <x:v>1.5</x:v>
      </x:c>
      <x:c r="I22" s="25" t="str">
        <x:v>Tạo BankingProperties cho hạn mức, timeout và currency; validation fail-fast.</x:v>
      </x:c>
      <x:c r="J22" s="25" t="str">
        <x:v>BankingProperties.java + test cấu hình lỗi</x:v>
      </x:c>
      <x:c r="K22" s="25" t="str">
        <x:v>Đọc lại ví dụ ngay trên trang; ghi câu hỏi cụ thể vào cột Ghi chú; sau 30 phút vẫn bí thì tạo ví dụ nhỏ nhất có thể chạy được.</x:v>
      </x:c>
      <x:c r="L22" s="25" t="str">
        <x:v>Chưa học</x:v>
      </x:c>
      <x:c r="M22" s="25" t="str"/>
    </x:row>
    <x:row r="23" ht="78" customHeight="1">
      <x:c r="A23" s="410" t="n">
        <x:v>6</x:v>
      </x:c>
      <x:c r="B23" s="411" t="n">
        <x:f>'02 Lộ trình 39 tuần'!G10</x:f>
        <x:v>46265</x:v>
      </x:c>
      <x:c r="C23" s="410" t="str">
        <x:v>REST API và OpenAPI</x:v>
      </x:c>
      <x:c r="D23" s="410" t="n">
        <x:v>1</x:v>
      </x:c>
      <x:c r="E23" s="410" t="str">
        <x:v>Request mapping và resource URI</x:v>
      </x:c>
      <x:c r="F23" s="410" t="str">
        <x:v>https://docs.spring.io/spring-framework/reference/web/webmvc/mvc-controller/ann-requestmapping.html</x:v>
      </x:c>
      <x:c r="G23" s="410" t="str">
        <x:v>Đọc URI Patterns, HTTP Method, Consumable/Producible Media Types và Parameters.</x:v>
      </x:c>
      <x:c r="H23" s="412" t="n">
        <x:v>1.25</x:v>
      </x:c>
      <x:c r="I23" s="410" t="str">
        <x:v>Thiết kế endpoints accounts/transfers; không dùng động từ trong URI trừ command rõ ràng.</x:v>
      </x:c>
      <x:c r="J23" s="410" t="str">
        <x:v>api-endpoints.md</x:v>
      </x:c>
      <x:c r="K23" s="410" t="str">
        <x:v>Đọc lại ví dụ ngay trên trang; ghi câu hỏi cụ thể vào cột Ghi chú; sau 30 phút vẫn bí thì tạo ví dụ nhỏ nhất có thể chạy được.</x:v>
      </x:c>
      <x:c r="L23" s="410" t="str">
        <x:v>Chưa học</x:v>
      </x:c>
      <x:c r="M23" s="410" t="str"/>
    </x:row>
    <x:row r="24" ht="78" customHeight="1">
      <x:c r="A24" s="410" t="n">
        <x:v>6</x:v>
      </x:c>
      <x:c r="B24" s="411" t="n">
        <x:f>'02 Lộ trình 39 tuần'!G10</x:f>
        <x:v>46265</x:v>
      </x:c>
      <x:c r="C24" s="410" t="str">
        <x:v>REST API và OpenAPI</x:v>
      </x:c>
      <x:c r="D24" s="410" t="n">
        <x:v>2</x:v>
      </x:c>
      <x:c r="E24" s="410" t="str">
        <x:v>Request body và validation</x:v>
      </x:c>
      <x:c r="F24" s="410" t="str">
        <x:v>https://docs.spring.io/spring-framework/reference/web/webmvc/mvc-controller/ann-methods/requestbody.html</x:v>
      </x:c>
      <x:c r="G24" s="410" t="str">
        <x:v>Đọc @RequestBody và Validation; sau đó mở trang Validation, đọc @Valid/@Validated.</x:v>
      </x:c>
      <x:c r="H24" s="412" t="n">
        <x:v>1.5</x:v>
      </x:c>
      <x:c r="I24" s="410" t="str">
        <x:v>Tạo CreateTransferRequest có amount/currency/account validation; viết 6 lỗi mẫu.</x:v>
      </x:c>
      <x:c r="J24" s="410" t="str">
        <x:v>DTO + 6 MockMvc tests</x:v>
      </x:c>
      <x:c r="K24" s="410" t="str">
        <x:v>Đọc lại ví dụ ngay trên trang; ghi câu hỏi cụ thể vào cột Ghi chú; sau 30 phút vẫn bí thì tạo ví dụ nhỏ nhất có thể chạy được.</x:v>
      </x:c>
      <x:c r="L24" s="410" t="str">
        <x:v>Chưa học</x:v>
      </x:c>
      <x:c r="M24" s="410" t="str"/>
    </x:row>
    <x:row r="25" ht="78" customHeight="1">
      <x:c r="A25" s="410" t="n">
        <x:v>6</x:v>
      </x:c>
      <x:c r="B25" s="411" t="n">
        <x:f>'02 Lộ trình 39 tuần'!G10</x:f>
        <x:v>46265</x:v>
      </x:c>
      <x:c r="C25" s="410" t="str">
        <x:v>REST API và OpenAPI</x:v>
      </x:c>
      <x:c r="D25" s="410" t="n">
        <x:v>3</x:v>
      </x:c>
      <x:c r="E25" s="410" t="str">
        <x:v>Error contract và OpenAPI</x:v>
      </x:c>
      <x:c r="F25" s="410" t="str">
        <x:v>https://docs.spring.io/spring-framework/reference/web/webmvc/mvc-ann-rest-exceptions.html</x:v>
      </x:c>
      <x:c r="G25" s="410" t="str">
        <x:v>Đọc Error Responses, ProblemDetail và @ControllerAdvice; đối chiếu mục Paths/Responses trong OpenAPI.</x:v>
      </x:c>
      <x:c r="H25" s="412" t="n">
        <x:v>1.75</x:v>
      </x:c>
      <x:c r="I25" s="410" t="str">
        <x:v>Tạo GlobalExceptionHandler trả ProblemDetail; mô tả 400/404/409/422 trong openapi.yaml.</x:v>
      </x:c>
      <x:c r="J25" s="410" t="str">
        <x:v>openapi.yaml + error handler</x:v>
      </x:c>
      <x:c r="K25" s="410" t="str">
        <x:v>Đọc lại ví dụ ngay trên trang; ghi câu hỏi cụ thể vào cột Ghi chú; sau 30 phút vẫn bí thì tạo ví dụ nhỏ nhất có thể chạy được.</x:v>
      </x:c>
      <x:c r="L25" s="410" t="str">
        <x:v>Chưa học</x:v>
      </x:c>
      <x:c r="M25" s="410" t="str"/>
    </x:row>
    <x:row r="26" ht="78" customHeight="1">
      <x:c r="A26" s="25" t="n">
        <x:v>7</x:v>
      </x:c>
      <x:c r="B26" s="196" t="n">
        <x:f>'02 Lộ trình 39 tuần'!G11</x:f>
        <x:v>46272</x:v>
      </x:c>
      <x:c r="C26" s="25" t="str">
        <x:v>JPA, transaction và locking</x:v>
      </x:c>
      <x:c r="D26" s="25" t="n">
        <x:v>1</x:v>
      </x:c>
      <x:c r="E26" s="25" t="str">
        <x:v>Đặt transaction boundary</x:v>
      </x:c>
      <x:c r="F26" s="25" t="str">
        <x:v>https://docs.spring.io/spring-data/jpa/reference/jpa/transactions.html</x:v>
      </x:c>
      <x:c r="G26" s="25" t="str">
        <x:v>Đọc Transactionality và Using @Transactional at query methods; chú ý service/facade boundary.</x:v>
      </x:c>
      <x:c r="H26" s="299" t="n">
        <x:v>1.5</x:v>
      </x:c>
      <x:c r="I26" s="25" t="str">
        <x:v>Đánh dấu boundary cho transfer; giải thích vì sao controller/repository không sở hữu toàn bộ nghiệp vụ.</x:v>
      </x:c>
      <x:c r="J26" s="25" t="str">
        <x:v>transaction-boundary.md</x:v>
      </x:c>
      <x:c r="K26" s="25" t="str">
        <x:v>Đọc lại ví dụ ngay trên trang; ghi câu hỏi cụ thể vào cột Ghi chú; sau 30 phút vẫn bí thì tạo ví dụ nhỏ nhất có thể chạy được.</x:v>
      </x:c>
      <x:c r="L26" s="25" t="str">
        <x:v>Chưa học</x:v>
      </x:c>
      <x:c r="M26" s="25" t="str"/>
    </x:row>
    <x:row r="27" ht="78" customHeight="1">
      <x:c r="A27" s="25" t="n">
        <x:v>7</x:v>
      </x:c>
      <x:c r="B27" s="196" t="n">
        <x:f>'02 Lộ trình 39 tuần'!G11</x:f>
        <x:v>46272</x:v>
      </x:c>
      <x:c r="C27" s="25" t="str">
        <x:v>JPA, transaction và locking</x:v>
      </x:c>
      <x:c r="D27" s="25" t="n">
        <x:v>2</x:v>
      </x:c>
      <x:c r="E27" s="25" t="str">
        <x:v>Optimistic và pessimistic lock</x:v>
      </x:c>
      <x:c r="F27" s="25" t="str">
        <x:v>https://docs.spring.io/spring-data/jpa/reference/jpa/locking.html</x:v>
      </x:c>
      <x:c r="G27" s="25" t="str">
        <x:v>Đọc Locking và ví dụ @Lock; đối chiếu PessimisticLockingFailureException.</x:v>
      </x:c>
      <x:c r="H27" s="299" t="n">
        <x:v>1.5</x:v>
      </x:c>
      <x:c r="I27" s="25" t="str">
        <x:v>Tạo hai implementation cập nhật số dư: @Version và PESSIMISTIC_WRITE.</x:v>
      </x:c>
      <x:c r="J27" s="25" t="str">
        <x:v>locking-lab code</x:v>
      </x:c>
      <x:c r="K27" s="25" t="str">
        <x:v>Đọc lại ví dụ ngay trên trang; ghi câu hỏi cụ thể vào cột Ghi chú; sau 30 phút vẫn bí thì tạo ví dụ nhỏ nhất có thể chạy được.</x:v>
      </x:c>
      <x:c r="L27" s="25" t="str">
        <x:v>Chưa học</x:v>
      </x:c>
      <x:c r="M27" s="25" t="str"/>
    </x:row>
    <x:row r="28" ht="78" customHeight="1">
      <x:c r="A28" s="25" t="n">
        <x:v>7</x:v>
      </x:c>
      <x:c r="B28" s="196" t="n">
        <x:f>'02 Lộ trình 39 tuần'!G11</x:f>
        <x:v>46272</x:v>
      </x:c>
      <x:c r="C28" s="25" t="str">
        <x:v>JPA, transaction và locking</x:v>
      </x:c>
      <x:c r="D28" s="25" t="n">
        <x:v>3</x:v>
      </x:c>
      <x:c r="E28" s="25" t="str">
        <x:v>Isolation level và lost update</x:v>
      </x:c>
      <x:c r="F28" s="25" t="str">
        <x:v>https://www.postgresql.org/docs/current/transaction-iso.html</x:v>
      </x:c>
      <x:c r="G28" s="25" t="str">
        <x:v>Đọc Read Committed và Serializable; ghi lại nonrepeatable read, phantom và serialization failure.</x:v>
      </x:c>
      <x:c r="H28" s="299" t="n">
        <x:v>1.5</x:v>
      </x:c>
      <x:c r="I28" s="25" t="str">
        <x:v>Viết integration test 2 transaction cạnh tranh; ghi kết quả ở READ COMMITTED và SERIALIZABLE.</x:v>
      </x:c>
      <x:c r="J28" s="25" t="str">
        <x:v>Concurrency IT + isolation-report.md</x:v>
      </x:c>
      <x:c r="K28" s="25" t="str">
        <x:v>Đọc lại ví dụ ngay trên trang; ghi câu hỏi cụ thể vào cột Ghi chú; sau 30 phút vẫn bí thì tạo ví dụ nhỏ nhất có thể chạy được.</x:v>
      </x:c>
      <x:c r="L28" s="25" t="str">
        <x:v>Chưa học</x:v>
      </x:c>
      <x:c r="M28" s="25" t="str"/>
    </x:row>
    <x:row r="29" ht="78" customHeight="1">
      <x:c r="A29" s="410" t="n">
        <x:v>8</x:v>
      </x:c>
      <x:c r="B29" s="411" t="n">
        <x:f>'02 Lộ trình 39 tuần'!G12</x:f>
        <x:v>46279</x:v>
      </x:c>
      <x:c r="C29" s="410" t="str">
        <x:v>PostgreSQL và tối ưu SQL</x:v>
      </x:c>
      <x:c r="D29" s="410" t="n">
        <x:v>1</x:v>
      </x:c>
      <x:c r="E29" s="410" t="str">
        <x:v>Đọc EXPLAIN ANALYZE</x:v>
      </x:c>
      <x:c r="F29" s="410" t="str">
        <x:v>https://www.postgresql.org/docs/current/using-explain.html</x:v>
      </x:c>
      <x:c r="G29" s="410" t="str">
        <x:v>Đọc từ đầu đến ví dụ Bitmap Index Scan; chú ý estimated rows so với actual rows.</x:v>
      </x:c>
      <x:c r="H29" s="412" t="n">
        <x:v>1.5</x:v>
      </x:c>
      <x:c r="I29" s="410" t="str">
        <x:v>Chạy EXPLAIN (ANALYZE, BUFFERS) cho truy vấn lịch sử giao dịch.</x:v>
      </x:c>
      <x:c r="J29" s="410" t="str">
        <x:v>3 execution-plan.txt</x:v>
      </x:c>
      <x:c r="K29" s="410" t="str">
        <x:v>Đọc lại ví dụ ngay trên trang; ghi câu hỏi cụ thể vào cột Ghi chú; sau 30 phút vẫn bí thì tạo ví dụ nhỏ nhất có thể chạy được.</x:v>
      </x:c>
      <x:c r="L29" s="410" t="str">
        <x:v>Chưa học</x:v>
      </x:c>
      <x:c r="M29" s="410" t="str"/>
    </x:row>
    <x:row r="30" ht="78" customHeight="1">
      <x:c r="A30" s="410" t="n">
        <x:v>8</x:v>
      </x:c>
      <x:c r="B30" s="411" t="n">
        <x:f>'02 Lộ trình 39 tuần'!G12</x:f>
        <x:v>46279</x:v>
      </x:c>
      <x:c r="C30" s="410" t="str">
        <x:v>PostgreSQL và tối ưu SQL</x:v>
      </x:c>
      <x:c r="D30" s="410" t="n">
        <x:v>2</x:v>
      </x:c>
      <x:c r="E30" s="410" t="str">
        <x:v>Chọn index theo workload</x:v>
      </x:c>
      <x:c r="F30" s="410" t="str">
        <x:v>https://www.postgresql.org/docs/current/indexes.html</x:v>
      </x:c>
      <x:c r="G30" s="410" t="str">
        <x:v>Đọc Introduction, Multicolumn, Unique, Partial và Index-only scans.</x:v>
      </x:c>
      <x:c r="H30" s="412" t="n">
        <x:v>1.5</x:v>
      </x:c>
      <x:c r="I30" s="410" t="str">
        <x:v>Đề xuất 3 index; với mỗi index ghi query hưởng lợi và chi phí ghi.</x:v>
      </x:c>
      <x:c r="J30" s="410" t="str">
        <x:v>index-decision.md</x:v>
      </x:c>
      <x:c r="K30" s="410" t="str">
        <x:v>Đọc lại ví dụ ngay trên trang; ghi câu hỏi cụ thể vào cột Ghi chú; sau 30 phút vẫn bí thì tạo ví dụ nhỏ nhất có thể chạy được.</x:v>
      </x:c>
      <x:c r="L30" s="410" t="str">
        <x:v>Chưa học</x:v>
      </x:c>
      <x:c r="M30" s="410" t="str"/>
    </x:row>
    <x:row r="31" ht="78" customHeight="1">
      <x:c r="A31" s="410" t="n">
        <x:v>8</x:v>
      </x:c>
      <x:c r="B31" s="411" t="n">
        <x:f>'02 Lộ trình 39 tuần'!G12</x:f>
        <x:v>46279</x:v>
      </x:c>
      <x:c r="C31" s="410" t="str">
        <x:v>PostgreSQL và tối ưu SQL</x:v>
      </x:c>
      <x:c r="D31" s="410" t="n">
        <x:v>3</x:v>
      </x:c>
      <x:c r="E31" s="410" t="str">
        <x:v>Tạo index an toàn</x:v>
      </x:c>
      <x:c r="F31" s="410" t="str">
        <x:v>https://www.postgresql.org/docs/current/sql-createindex.html</x:v>
      </x:c>
      <x:c r="G31" s="410" t="str">
        <x:v>Đọc CONCURRENTLY, INCLUDE, WHERE và Notes.</x:v>
      </x:c>
      <x:c r="H31" s="412" t="n">
        <x:v>1.25</x:v>
      </x:c>
      <x:c r="I31" s="410" t="str">
        <x:v>Tạo migration index ghép account_id/created_at; đo trước–sau trên ≥500k rows.</x:v>
      </x:c>
      <x:c r="J31" s="410" t="str">
        <x:v>migration + before-after.csv</x:v>
      </x:c>
      <x:c r="K31" s="410" t="str">
        <x:v>Đọc lại ví dụ ngay trên trang; ghi câu hỏi cụ thể vào cột Ghi chú; sau 30 phút vẫn bí thì tạo ví dụ nhỏ nhất có thể chạy được.</x:v>
      </x:c>
      <x:c r="L31" s="410" t="str">
        <x:v>Chưa học</x:v>
      </x:c>
      <x:c r="M31" s="410" t="str"/>
    </x:row>
    <x:row r="32" ht="78" customHeight="1">
      <x:c r="A32" s="25" t="n">
        <x:v>9</x:v>
      </x:c>
      <x:c r="B32" s="196" t="n">
        <x:f>'02 Lộ trình 39 tuần'!G13</x:f>
        <x:v>46286</x:v>
      </x:c>
      <x:c r="C32" s="25" t="str">
        <x:v>Testing và Testcontainers</x:v>
      </x:c>
      <x:c r="D32" s="25" t="n">
        <x:v>1</x:v>
      </x:c>
      <x:c r="E32" s="25" t="str">
        <x:v>Phân biệt unit, slice và integration test</x:v>
      </x:c>
      <x:c r="F32" s="25" t="str">
        <x:v>https://docs.spring.io/spring-boot/reference/testing/spring-boot-applications.html</x:v>
      </x:c>
      <x:c r="G32" s="25" t="str">
        <x:v>Đọc Detecting Test Configuration, Testing Spring Boot Applications và Test Slices.</x:v>
      </x:c>
      <x:c r="H32" s="299" t="n">
        <x:v>1.5</x:v>
      </x:c>
      <x:c r="I32" s="25" t="str">
        <x:v>Phân loại test hiện có; đổi test nghiệp vụ thành unit test không load Spring context.</x:v>
      </x:c>
      <x:c r="J32" s="25" t="str">
        <x:v>test-strategy.md + unit tests</x:v>
      </x:c>
      <x:c r="K32" s="25" t="str">
        <x:v>Đọc lại ví dụ ngay trên trang; ghi câu hỏi cụ thể vào cột Ghi chú; sau 30 phút vẫn bí thì tạo ví dụ nhỏ nhất có thể chạy được.</x:v>
      </x:c>
      <x:c r="L32" s="25" t="str">
        <x:v>Chưa học</x:v>
      </x:c>
      <x:c r="M32" s="25" t="str"/>
    </x:row>
    <x:row r="33" ht="78" customHeight="1">
      <x:c r="A33" s="25" t="n">
        <x:v>9</x:v>
      </x:c>
      <x:c r="B33" s="196" t="n">
        <x:f>'02 Lộ trình 39 tuần'!G13</x:f>
        <x:v>46286</x:v>
      </x:c>
      <x:c r="C33" s="25" t="str">
        <x:v>Testing và Testcontainers</x:v>
      </x:c>
      <x:c r="D33" s="25" t="n">
        <x:v>2</x:v>
      </x:c>
      <x:c r="E33" s="25" t="str">
        <x:v>PostgreSQL thật bằng Testcontainers</x:v>
      </x:c>
      <x:c r="F33" s="25" t="str">
        <x:v>https://docs.spring.io/spring-boot/reference/testing/testcontainers.html</x:v>
      </x:c>
      <x:c r="G33" s="25" t="str">
        <x:v>Đọc Service Connections và Dynamic Properties.</x:v>
      </x:c>
      <x:c r="H33" s="299" t="n">
        <x:v>1.5</x:v>
      </x:c>
      <x:c r="I33" s="25" t="str">
        <x:v>Tạo PostgreSQLContainer dùng lại cho repository/integration tests.</x:v>
      </x:c>
      <x:c r="J33" s="25" t="str">
        <x:v>BaseIntegrationTest.java</x:v>
      </x:c>
      <x:c r="K33" s="25" t="str">
        <x:v>Đọc lại ví dụ ngay trên trang; ghi câu hỏi cụ thể vào cột Ghi chú; sau 30 phút vẫn bí thì tạo ví dụ nhỏ nhất có thể chạy được.</x:v>
      </x:c>
      <x:c r="L33" s="25" t="str">
        <x:v>Chưa học</x:v>
      </x:c>
      <x:c r="M33" s="25" t="str"/>
    </x:row>
    <x:row r="34" ht="78" customHeight="1">
      <x:c r="A34" s="25" t="n">
        <x:v>9</x:v>
      </x:c>
      <x:c r="B34" s="196" t="n">
        <x:f>'02 Lộ trình 39 tuần'!G13</x:f>
        <x:v>46286</x:v>
      </x:c>
      <x:c r="C34" s="25" t="str">
        <x:v>Testing và Testcontainers</x:v>
      </x:c>
      <x:c r="D34" s="25" t="n">
        <x:v>3</x:v>
      </x:c>
      <x:c r="E34" s="25" t="str">
        <x:v>Test dữ liệu và concurrency ổn định</x:v>
      </x:c>
      <x:c r="F34" s="25" t="str">
        <x:v>https://junit.org/junit5/docs/current/user-guide/#writing-tests</x:v>
      </x:c>
      <x:c r="G34" s="25" t="str">
        <x:v>Đọc Parameterized Tests, Test Instance Lifecycle và Parallel Execution.</x:v>
      </x:c>
      <x:c r="H34" s="299" t="n">
        <x:v>1.5</x:v>
      </x:c>
      <x:c r="I34" s="25" t="str">
        <x:v>Tạo test data builder; chạy suite 2 lần; loại phụ thuộc thứ tự và sleep tùy ý.</x:v>
      </x:c>
      <x:c r="J34" s="25" t="str">
        <x:v>TestDataBuilder + log 2 lần xanh</x:v>
      </x:c>
      <x:c r="K34" s="25" t="str">
        <x:v>Đọc lại ví dụ ngay trên trang; ghi câu hỏi cụ thể vào cột Ghi chú; sau 30 phút vẫn bí thì tạo ví dụ nhỏ nhất có thể chạy được.</x:v>
      </x:c>
      <x:c r="L34" s="25" t="str">
        <x:v>Chưa học</x:v>
      </x:c>
      <x:c r="M34" s="25" t="str"/>
    </x:row>
    <x:row r="35" ht="78" customHeight="1">
      <x:c r="A35" s="410" t="n">
        <x:v>10</x:v>
      </x:c>
      <x:c r="B35" s="411" t="n">
        <x:f>'02 Lộ trình 39 tuần'!G14</x:f>
        <x:v>46293</x:v>
      </x:c>
      <x:c r="C35" s="410" t="str">
        <x:v>Spring Security, OAuth2 và JWT</x:v>
      </x:c>
      <x:c r="D35" s="410" t="n">
        <x:v>1</x:v>
      </x:c>
      <x:c r="E35" s="410" t="str">
        <x:v>Resource Server hoạt động thế nào</x:v>
      </x:c>
      <x:c r="F35" s="410" t="str">
        <x:v>https://docs.spring.io/spring-security/reference/servlet/oauth2/resource-server/index.html</x:v>
      </x:c>
      <x:c r="G35" s="410" t="str">
        <x:v>Đọc Overview và các bước cấu hình minimal dependencies/configuration.</x:v>
      </x:c>
      <x:c r="H35" s="412" t="n">
        <x:v>1.25</x:v>
      </x:c>
      <x:c r="I35" s="410" t="str">
        <x:v>Bảo vệ toàn bộ /api; chỉ health endpoint public.</x:v>
      </x:c>
      <x:c r="J35" s="410" t="str">
        <x:v>SecurityFilterChain + smoke tests</x:v>
      </x:c>
      <x:c r="K35" s="410" t="str">
        <x:v>Đọc lại ví dụ ngay trên trang; ghi câu hỏi cụ thể vào cột Ghi chú; sau 30 phút vẫn bí thì tạo ví dụ nhỏ nhất có thể chạy được.</x:v>
      </x:c>
      <x:c r="L35" s="410" t="str">
        <x:v>Chưa học</x:v>
      </x:c>
      <x:c r="M35" s="410" t="str"/>
    </x:row>
    <x:row r="36" ht="78" customHeight="1">
      <x:c r="A36" s="410" t="n">
        <x:v>10</x:v>
      </x:c>
      <x:c r="B36" s="411" t="n">
        <x:f>'02 Lộ trình 39 tuần'!G14</x:f>
        <x:v>46293</x:v>
      </x:c>
      <x:c r="C36" s="410" t="str">
        <x:v>Spring Security, OAuth2 và JWT</x:v>
      </x:c>
      <x:c r="D36" s="410" t="n">
        <x:v>2</x:v>
      </x:c>
      <x:c r="E36" s="410" t="str">
        <x:v>Xác thực JWT</x:v>
      </x:c>
      <x:c r="F36" s="410" t="str">
        <x:v>https://docs.spring.io/spring-security/reference/servlet/oauth2/resource-server/jwt.html</x:v>
      </x:c>
      <x:c r="G36" s="410" t="str">
        <x:v>Đọc JWT startup expectations, runtime expectations, issuer-uri và audience validation.</x:v>
      </x:c>
      <x:c r="H36" s="412" t="n">
        <x:v>1.5</x:v>
      </x:c>
      <x:c r="I36" s="410" t="str">
        <x:v>Cấu hình issuer/audience; test token hết hạn, sai issuer và thiếu scope.</x:v>
      </x:c>
      <x:c r="J36" s="410" t="str">
        <x:v>JWT config + ≥6 tests</x:v>
      </x:c>
      <x:c r="K36" s="410" t="str">
        <x:v>Đọc lại ví dụ ngay trên trang; ghi câu hỏi cụ thể vào cột Ghi chú; sau 30 phút vẫn bí thì tạo ví dụ nhỏ nhất có thể chạy được.</x:v>
      </x:c>
      <x:c r="L36" s="410" t="str">
        <x:v>Chưa học</x:v>
      </x:c>
      <x:c r="M36" s="410" t="str"/>
    </x:row>
    <x:row r="37" ht="78" customHeight="1">
      <x:c r="A37" s="410" t="n">
        <x:v>10</x:v>
      </x:c>
      <x:c r="B37" s="411" t="n">
        <x:f>'02 Lộ trình 39 tuần'!G14</x:f>
        <x:v>46293</x:v>
      </x:c>
      <x:c r="C37" s="410" t="str">
        <x:v>Spring Security, OAuth2 và JWT</x:v>
      </x:c>
      <x:c r="D37" s="410" t="n">
        <x:v>3</x:v>
      </x:c>
      <x:c r="E37" s="410" t="str">
        <x:v>Authorization theo ownership và role</x:v>
      </x:c>
      <x:c r="F37" s="410" t="str">
        <x:v>https://docs.spring.io/spring-security/reference/servlet/authorization/method-security.html</x:v>
      </x:c>
      <x:c r="G37" s="410" t="str">
        <x:v>Đọc @EnableMethodSecurity, @PreAuthorize và Authorizing Method Invocation.</x:v>
      </x:c>
      <x:c r="H37" s="412" t="n">
        <x:v>1.5</x:v>
      </x:c>
      <x:c r="I37" s="410" t="str">
        <x:v>USER chỉ xem account sở hữu; ADMIN xem được tất cả; test bằng mock JWT.</x:v>
      </x:c>
      <x:c r="J37" s="410" t="str">
        <x:v>method security + ≥6 tests</x:v>
      </x:c>
      <x:c r="K37" s="410" t="str">
        <x:v>Đọc lại ví dụ ngay trên trang; ghi câu hỏi cụ thể vào cột Ghi chú; sau 30 phút vẫn bí thì tạo ví dụ nhỏ nhất có thể chạy được.</x:v>
      </x:c>
      <x:c r="L37" s="410" t="str">
        <x:v>Chưa học</x:v>
      </x:c>
      <x:c r="M37" s="410" t="str"/>
    </x:row>
    <x:row r="38" ht="78" customHeight="1">
      <x:c r="A38" s="25" t="n">
        <x:v>11</x:v>
      </x:c>
      <x:c r="B38" s="196" t="n">
        <x:f>'02 Lộ trình 39 tuần'!G15</x:f>
        <x:v>46300</x:v>
      </x:c>
      <x:c r="C38" s="25" t="str">
        <x:v>Docker, Compose và CI</x:v>
      </x:c>
      <x:c r="D38" s="25" t="n">
        <x:v>1</x:v>
      </x:c>
      <x:c r="E38" s="25" t="str">
        <x:v>Container hóa ứng dụng</x:v>
      </x:c>
      <x:c r="F38" s="25" t="str">
        <x:v>https://docs.docker.com/get-started/workshop/</x:v>
      </x:c>
      <x:c r="G38" s="25" t="str">
        <x:v>Làm tuần tự Part 1–4 của workshop; thay app mẫu bằng dự án Spring Boot.</x:v>
      </x:c>
      <x:c r="H38" s="299" t="n">
        <x:v>1.75</x:v>
      </x:c>
      <x:c r="I38" s="25" t="str">
        <x:v>Viết Dockerfile, build image và chạy với biến môi trường.</x:v>
      </x:c>
      <x:c r="J38" s="25" t="str">
        <x:v>Dockerfile + lệnh chạy trong README</x:v>
      </x:c>
      <x:c r="K38" s="25" t="str">
        <x:v>Đọc lại ví dụ ngay trên trang; ghi câu hỏi cụ thể vào cột Ghi chú; sau 30 phút vẫn bí thì tạo ví dụ nhỏ nhất có thể chạy được.</x:v>
      </x:c>
      <x:c r="L38" s="25" t="str">
        <x:v>Chưa học</x:v>
      </x:c>
      <x:c r="M38" s="25" t="str"/>
    </x:row>
    <x:row r="39" ht="78" customHeight="1">
      <x:c r="A39" s="25" t="n">
        <x:v>11</x:v>
      </x:c>
      <x:c r="B39" s="196" t="n">
        <x:f>'02 Lộ trình 39 tuần'!G15</x:f>
        <x:v>46300</x:v>
      </x:c>
      <x:c r="C39" s="25" t="str">
        <x:v>Docker, Compose và CI</x:v>
      </x:c>
      <x:c r="D39" s="25" t="n">
        <x:v>2</x:v>
      </x:c>
      <x:c r="E39" s="25" t="str">
        <x:v>Multi-stage và image nhỏ</x:v>
      </x:c>
      <x:c r="F39" s="25" t="str">
        <x:v>https://docs.docker.com/build/building/multi-stage/</x:v>
      </x:c>
      <x:c r="G39" s="25" t="str">
        <x:v>Đọc Use multi-stage builds và Stop at a specific build stage.</x:v>
      </x:c>
      <x:c r="H39" s="299" t="n">
        <x:v>1.25</x:v>
      </x:c>
      <x:c r="I39" s="25" t="str">
        <x:v>Tách build/runtime stage; chạy container bằng non-root user.</x:v>
      </x:c>
      <x:c r="J39" s="25" t="str">
        <x:v>Multi-stage Dockerfile</x:v>
      </x:c>
      <x:c r="K39" s="25" t="str">
        <x:v>Đọc lại ví dụ ngay trên trang; ghi câu hỏi cụ thể vào cột Ghi chú; sau 30 phút vẫn bí thì tạo ví dụ nhỏ nhất có thể chạy được.</x:v>
      </x:c>
      <x:c r="L39" s="25" t="str">
        <x:v>Chưa học</x:v>
      </x:c>
      <x:c r="M39" s="25" t="str"/>
    </x:row>
    <x:row r="40" ht="78" customHeight="1">
      <x:c r="A40" s="25" t="n">
        <x:v>11</x:v>
      </x:c>
      <x:c r="B40" s="196" t="n">
        <x:f>'02 Lộ trình 39 tuần'!G15</x:f>
        <x:v>46300</x:v>
      </x:c>
      <x:c r="C40" s="25" t="str">
        <x:v>Docker, Compose và CI</x:v>
      </x:c>
      <x:c r="D40" s="25" t="n">
        <x:v>3</x:v>
      </x:c>
      <x:c r="E40" s="25" t="str">
        <x:v>Compose và GitHub Actions</x:v>
      </x:c>
      <x:c r="F40" s="25" t="str">
        <x:v>https://docs.docker.com/compose/gettingstarted/</x:v>
      </x:c>
      <x:c r="G40" s="25" t="str">
        <x:v>Làm Step 1–4; sau đó đọc GitHub Actions phần Building and testing your code.</x:v>
      </x:c>
      <x:c r="H40" s="299" t="n">
        <x:v>1.75</x:v>
      </x:c>
      <x:c r="I40" s="25" t="str">
        <x:v>Compose app+Postgres; workflow chạy mvn verify khi push/PR.</x:v>
      </x:c>
      <x:c r="J40" s="25" t="str">
        <x:v>compose.yaml + ci.yml xanh</x:v>
      </x:c>
      <x:c r="K40" s="25" t="str">
        <x:v>Đọc lại ví dụ ngay trên trang; ghi câu hỏi cụ thể vào cột Ghi chú; sau 30 phút vẫn bí thì tạo ví dụ nhỏ nhất có thể chạy được.</x:v>
      </x:c>
      <x:c r="L40" s="25" t="str">
        <x:v>Chưa học</x:v>
      </x:c>
      <x:c r="M40" s="25" t="str"/>
    </x:row>
    <x:row r="41" ht="78" customHeight="1">
      <x:c r="A41" s="410" t="n">
        <x:v>12</x:v>
      </x:c>
      <x:c r="B41" s="411" t="n">
        <x:f>'02 Lộ trình 39 tuần'!G16</x:f>
        <x:v>46307</x:v>
      </x:c>
      <x:c r="C41" s="410" t="str">
        <x:v>Redis: cache, rate limit và lock</x:v>
      </x:c>
      <x:c r="D41" s="410" t="n">
        <x:v>1</x:v>
      </x:c>
      <x:c r="E41" s="410" t="str">
        <x:v>Cache account summary bằng Hash</x:v>
      </x:c>
      <x:c r="F41" s="410" t="str">
        <x:v>https://redis.io/docs/latest/develop/data-types/hashes/</x:v>
      </x:c>
      <x:c r="G41" s="410" t="str">
        <x:v>Đọc Basic commands, Field expiration và Examples.</x:v>
      </x:c>
      <x:c r="H41" s="412" t="n">
        <x:v>1.25</x:v>
      </x:c>
      <x:c r="I41" s="410" t="str">
        <x:v>Thiết kế key account:{id}:summary; TTL; fallback database khi Redis lỗi.</x:v>
      </x:c>
      <x:c r="J41" s="410" t="str">
        <x:v>Cache service + integration tests</x:v>
      </x:c>
      <x:c r="K41" s="410" t="str">
        <x:v>Đọc lại ví dụ ngay trên trang; ghi câu hỏi cụ thể vào cột Ghi chú; sau 30 phút vẫn bí thì tạo ví dụ nhỏ nhất có thể chạy được.</x:v>
      </x:c>
      <x:c r="L41" s="410" t="str">
        <x:v>Chưa học</x:v>
      </x:c>
      <x:c r="M41" s="410" t="str"/>
    </x:row>
    <x:row r="42" ht="78" customHeight="1">
      <x:c r="A42" s="410" t="n">
        <x:v>12</x:v>
      </x:c>
      <x:c r="B42" s="411" t="n">
        <x:f>'02 Lộ trình 39 tuần'!G16</x:f>
        <x:v>46307</x:v>
      </x:c>
      <x:c r="C42" s="410" t="str">
        <x:v>Redis: cache, rate limit và lock</x:v>
      </x:c>
      <x:c r="D42" s="410" t="n">
        <x:v>2</x:v>
      </x:c>
      <x:c r="E42" s="410" t="str">
        <x:v>Sliding-window rate limit</x:v>
      </x:c>
      <x:c r="F42" s="410" t="str">
        <x:v>https://redis.io/docs/latest/develop/data-types/sorted-sets/</x:v>
      </x:c>
      <x:c r="G42" s="410" t="str">
        <x:v>Đọc Basic commands và các ví dụ ZADD/ZRANGEBYSCORE/ZREMRANGEBYSCORE.</x:v>
      </x:c>
      <x:c r="H42" s="412" t="n">
        <x:v>1.5</x:v>
      </x:c>
      <x:c r="I42" s="410" t="str">
        <x:v>Dùng sorted set để giới hạn 10 request/phút/user; test biên request 10 và 11.</x:v>
      </x:c>
      <x:c r="J42" s="410" t="str">
        <x:v>RateLimiter.java + tests</x:v>
      </x:c>
      <x:c r="K42" s="410" t="str">
        <x:v>Đọc lại ví dụ ngay trên trang; ghi câu hỏi cụ thể vào cột Ghi chú; sau 30 phút vẫn bí thì tạo ví dụ nhỏ nhất có thể chạy được.</x:v>
      </x:c>
      <x:c r="L42" s="410" t="str">
        <x:v>Chưa học</x:v>
      </x:c>
      <x:c r="M42" s="410" t="str"/>
    </x:row>
    <x:row r="43" ht="78" customHeight="1">
      <x:c r="A43" s="410" t="n">
        <x:v>12</x:v>
      </x:c>
      <x:c r="B43" s="411" t="n">
        <x:f>'02 Lộ trình 39 tuần'!G16</x:f>
        <x:v>46307</x:v>
      </x:c>
      <x:c r="C43" s="410" t="str">
        <x:v>Redis: cache, rate limit và lock</x:v>
      </x:c>
      <x:c r="D43" s="410" t="n">
        <x:v>3</x:v>
      </x:c>
      <x:c r="E43" s="410" t="str">
        <x:v>Khóa phân tán và giới hạn của nó</x:v>
      </x:c>
      <x:c r="F43" s="410" t="str">
        <x:v>https://redis.io/docs/latest/develop/clients/patterns/distributed-locks/</x:v>
      </x:c>
      <x:c r="G43" s="410" t="str">
        <x:v>Đọc Correct implementation with a single instance và Safety/Liveness guarantees.</x:v>
      </x:c>
      <x:c r="H43" s="412" t="n">
        <x:v>1.5</x:v>
      </x:c>
      <x:c r="I43" s="410" t="str">
        <x:v>Cài acquire bằng SET NX PX và release có owner token; viết ADR khi nào không nên dùng.</x:v>
      </x:c>
      <x:c r="J43" s="410" t="str">
        <x:v>RedisLock + ADR</x:v>
      </x:c>
      <x:c r="K43" s="410" t="str">
        <x:v>Đọc lại ví dụ ngay trên trang; ghi câu hỏi cụ thể vào cột Ghi chú; sau 30 phút vẫn bí thì tạo ví dụ nhỏ nhất có thể chạy được.</x:v>
      </x:c>
      <x:c r="L43" s="410" t="str">
        <x:v>Chưa học</x:v>
      </x:c>
      <x:c r="M43" s="410" t="str"/>
    </x:row>
    <x:row r="44" ht="78" customHeight="1">
      <x:c r="A44" s="25" t="n">
        <x:v>13</x:v>
      </x:c>
      <x:c r="B44" s="196" t="n">
        <x:f>'02 Lộ trình 39 tuần'!G17</x:f>
        <x:v>46314</x:v>
      </x:c>
      <x:c r="C44" s="25" t="str">
        <x:v>Kafka căn bản</x:v>
      </x:c>
      <x:c r="D44" s="25" t="n">
        <x:v>1</x:v>
      </x:c>
      <x:c r="E44" s="25" t="str">
        <x:v>Topic, partition và ordering</x:v>
      </x:c>
      <x:c r="F44" s="25" t="str">
        <x:v>https://kafka.apache.org/documentation/</x:v>
      </x:c>
      <x:c r="G44" s="25" t="str">
        <x:v>Đọc Introduction &gt; Events, Topics, Partitions; dừng trước Kafka APIs.</x:v>
      </x:c>
      <x:c r="H44" s="299" t="n">
        <x:v>1.5</x:v>
      </x:c>
      <x:c r="I44" s="25" t="str">
        <x:v>Vẽ topic TransactionCreated 3 partitions; chọn accountId làm key và giải thích.</x:v>
      </x:c>
      <x:c r="J44" s="25" t="str">
        <x:v>partition-design.md</x:v>
      </x:c>
      <x:c r="K44" s="25" t="str">
        <x:v>Đọc lại ví dụ ngay trên trang; ghi câu hỏi cụ thể vào cột Ghi chú; sau 30 phút vẫn bí thì tạo ví dụ nhỏ nhất có thể chạy được.</x:v>
      </x:c>
      <x:c r="L44" s="25" t="str">
        <x:v>Chưa học</x:v>
      </x:c>
      <x:c r="M44" s="25" t="str"/>
    </x:row>
    <x:row r="45" ht="78" customHeight="1">
      <x:c r="A45" s="25" t="n">
        <x:v>13</x:v>
      </x:c>
      <x:c r="B45" s="196" t="n">
        <x:f>'02 Lộ trình 39 tuần'!G17</x:f>
        <x:v>46314</x:v>
      </x:c>
      <x:c r="C45" s="25" t="str">
        <x:v>Kafka căn bản</x:v>
      </x:c>
      <x:c r="D45" s="25" t="n">
        <x:v>2</x:v>
      </x:c>
      <x:c r="E45" s="25" t="str">
        <x:v>Producer và durability</x:v>
      </x:c>
      <x:c r="F45" s="25" t="str">
        <x:v>https://kafka.apache.org/documentation/</x:v>
      </x:c>
      <x:c r="G45" s="25" t="str">
        <x:v>Tìm mục Producer Configs; chỉ đọc acks, enable.idempotence, retries, delivery.timeout.ms.</x:v>
      </x:c>
      <x:c r="H45" s="299" t="n">
        <x:v>1.25</x:v>
      </x:c>
      <x:c r="I45" s="25" t="str">
        <x:v>Cấu hình producer; thử gửi 30 events có 3 accountId và kiểm tra partition.</x:v>
      </x:c>
      <x:c r="J45" s="25" t="str">
        <x:v>producer config + run log</x:v>
      </x:c>
      <x:c r="K45" s="25" t="str">
        <x:v>Đọc lại ví dụ ngay trên trang; ghi câu hỏi cụ thể vào cột Ghi chú; sau 30 phút vẫn bí thì tạo ví dụ nhỏ nhất có thể chạy được.</x:v>
      </x:c>
      <x:c r="L45" s="25" t="str">
        <x:v>Chưa học</x:v>
      </x:c>
      <x:c r="M45" s="25" t="str"/>
    </x:row>
    <x:row r="46" ht="78" customHeight="1">
      <x:c r="A46" s="25" t="n">
        <x:v>13</x:v>
      </x:c>
      <x:c r="B46" s="196" t="n">
        <x:f>'02 Lộ trình 39 tuần'!G17</x:f>
        <x:v>46314</x:v>
      </x:c>
      <x:c r="C46" s="25" t="str">
        <x:v>Kafka căn bản</x:v>
      </x:c>
      <x:c r="D46" s="25" t="n">
        <x:v>3</x:v>
      </x:c>
      <x:c r="E46" s="25" t="str">
        <x:v>Consumer group và offset</x:v>
      </x:c>
      <x:c r="F46" s="25" t="str">
        <x:v>https://kafka.apache.org/documentation/</x:v>
      </x:c>
      <x:c r="G46" s="25" t="str">
        <x:v>Đọc Consumer Design và Consumer Configs: group.id, auto.offset.reset, enable.auto.commit.</x:v>
      </x:c>
      <x:c r="H46" s="299" t="n">
        <x:v>1.5</x:v>
      </x:c>
      <x:c r="I46" s="25" t="str">
        <x:v>Chạy 1 rồi 3 consumer cùng group; ghi partition assignment và lag.</x:v>
      </x:c>
      <x:c r="J46" s="25" t="str">
        <x:v>consumer-group-lab.md</x:v>
      </x:c>
      <x:c r="K46" s="25" t="str">
        <x:v>Đọc lại ví dụ ngay trên trang; ghi câu hỏi cụ thể vào cột Ghi chú; sau 30 phút vẫn bí thì tạo ví dụ nhỏ nhất có thể chạy được.</x:v>
      </x:c>
      <x:c r="L46" s="25" t="str">
        <x:v>Chưa học</x:v>
      </x:c>
      <x:c r="M46" s="25" t="str"/>
    </x:row>
    <x:row r="47" ht="78" customHeight="1">
      <x:c r="A47" s="410" t="n">
        <x:v>14</x:v>
      </x:c>
      <x:c r="B47" s="411" t="n">
        <x:f>'02 Lộ trình 39 tuần'!G18</x:f>
        <x:v>46321</x:v>
      </x:c>
      <x:c r="C47" s="410" t="str">
        <x:v>Kafka retry, DLT và duplicate</x:v>
      </x:c>
      <x:c r="D47" s="410" t="n">
        <x:v>1</x:v>
      </x:c>
      <x:c r="E47" s="410" t="str">
        <x:v>Delivery semantics</x:v>
      </x:c>
      <x:c r="F47" s="410" t="str">
        <x:v>https://kafka.apache.org/documentation/</x:v>
      </x:c>
      <x:c r="G47" s="410" t="str">
        <x:v>Tìm mục Message Delivery Semantics; đọc at-most-once, at-least-once, exactly-once.</x:v>
      </x:c>
      <x:c r="H47" s="412" t="n">
        <x:v>1.5</x:v>
      </x:c>
      <x:c r="I47" s="410" t="str">
        <x:v>Lập bảng tình huống crash trước/sau xử lý và kết quả duplicate/loss.</x:v>
      </x:c>
      <x:c r="J47" s="410" t="str">
        <x:v>delivery-semantics.md</x:v>
      </x:c>
      <x:c r="K47" s="410" t="str">
        <x:v>Đọc lại ví dụ ngay trên trang; ghi câu hỏi cụ thể vào cột Ghi chú; sau 30 phút vẫn bí thì tạo ví dụ nhỏ nhất có thể chạy được.</x:v>
      </x:c>
      <x:c r="L47" s="410" t="str">
        <x:v>Chưa học</x:v>
      </x:c>
      <x:c r="M47" s="410" t="str"/>
    </x:row>
    <x:row r="48" ht="78" customHeight="1">
      <x:c r="A48" s="410" t="n">
        <x:v>14</x:v>
      </x:c>
      <x:c r="B48" s="411" t="n">
        <x:f>'02 Lộ trình 39 tuần'!G18</x:f>
        <x:v>46321</x:v>
      </x:c>
      <x:c r="C48" s="410" t="str">
        <x:v>Kafka retry, DLT và duplicate</x:v>
      </x:c>
      <x:c r="D48" s="410" t="n">
        <x:v>2</x:v>
      </x:c>
      <x:c r="E48" s="410" t="str">
        <x:v>Non-blocking retry topic</x:v>
      </x:c>
      <x:c r="F48" s="410" t="str">
        <x:v>https://docs.spring.io/spring-kafka/reference/retrytopic/how-the-pattern-works.html</x:v>
      </x:c>
      <x:c r="G48" s="410" t="str">
        <x:v>Đọc toàn bộ How the pattern works; chú ý offset commit và chuyển topic.</x:v>
      </x:c>
      <x:c r="H48" s="412" t="n">
        <x:v>1.5</x:v>
      </x:c>
      <x:c r="I48" s="410" t="str">
        <x:v>Cấu hình 3 lần retry có backoff cho lỗi tạm thời.</x:v>
      </x:c>
      <x:c r="J48" s="410" t="str">
        <x:v>RetryTopicConfiguration + test</x:v>
      </x:c>
      <x:c r="K48" s="410" t="str">
        <x:v>Đọc lại ví dụ ngay trên trang; ghi câu hỏi cụ thể vào cột Ghi chú; sau 30 phút vẫn bí thì tạo ví dụ nhỏ nhất có thể chạy được.</x:v>
      </x:c>
      <x:c r="L48" s="410" t="str">
        <x:v>Chưa học</x:v>
      </x:c>
      <x:c r="M48" s="410" t="str"/>
    </x:row>
    <x:row r="49" ht="78" customHeight="1">
      <x:c r="A49" s="410" t="n">
        <x:v>14</x:v>
      </x:c>
      <x:c r="B49" s="411" t="n">
        <x:f>'02 Lộ trình 39 tuần'!G18</x:f>
        <x:v>46321</x:v>
      </x:c>
      <x:c r="C49" s="410" t="str">
        <x:v>Kafka retry, DLT và duplicate</x:v>
      </x:c>
      <x:c r="D49" s="410" t="n">
        <x:v>3</x:v>
      </x:c>
      <x:c r="E49" s="410" t="str">
        <x:v>Dead-letter và replay</x:v>
      </x:c>
      <x:c r="F49" s="410" t="str">
        <x:v>https://docs.spring.io/spring-kafka/reference/</x:v>
      </x:c>
      <x:c r="G49" s="410" t="str">
        <x:v>Tìm “Dead Letter Publishing Recoverer” và “Publishing Dead-letter Records”; chỉ đọc hai mục đó.</x:v>
      </x:c>
      <x:c r="H49" s="412" t="n">
        <x:v>1.5</x:v>
      </x:c>
      <x:c r="I49" s="410" t="str">
        <x:v>Poison message vào DLT; viết lệnh/quy trình replay an toàn và chống xử lý trùng.</x:v>
      </x:c>
      <x:c r="J49" s="410" t="str">
        <x:v>DLT test + replay-runbook.md</x:v>
      </x:c>
      <x:c r="K49" s="410" t="str">
        <x:v>Đọc lại ví dụ ngay trên trang; ghi câu hỏi cụ thể vào cột Ghi chú; sau 30 phút vẫn bí thì tạo ví dụ nhỏ nhất có thể chạy được.</x:v>
      </x:c>
      <x:c r="L49" s="410" t="str">
        <x:v>Chưa học</x:v>
      </x:c>
      <x:c r="M49" s="410" t="str"/>
    </x:row>
    <x:row r="50" ht="78" customHeight="1">
      <x:c r="A50" s="25" t="n">
        <x:v>15</x:v>
      </x:c>
      <x:c r="B50" s="196" t="n">
        <x:f>'02 Lộ trình 39 tuần'!G19</x:f>
        <x:v>46328</x:v>
      </x:c>
      <x:c r="C50" s="25" t="str">
        <x:v>Timeout, retry, circuit breaker</x:v>
      </x:c>
      <x:c r="D50" s="25" t="n">
        <x:v>1</x:v>
      </x:c>
      <x:c r="E50" s="25" t="str">
        <x:v>Circuit breaker states</x:v>
      </x:c>
      <x:c r="F50" s="25" t="str">
        <x:v>https://docs.aws.amazon.com/prescriptive-guidance/latest/cloud-design-patterns/circuit-breaker.html</x:v>
      </x:c>
      <x:c r="G50" s="25" t="str">
        <x:v>Đọc Intent, Motivation, Applicability và Issues/considerations.</x:v>
      </x:c>
      <x:c r="H50" s="299" t="n">
        <x:v>1.25</x:v>
      </x:c>
      <x:c r="I50" s="25" t="str">
        <x:v>Vẽ CLOSED/OPEN/HALF_OPEN; chọn failure-rate và wait-duration có lý do.</x:v>
      </x:c>
      <x:c r="J50" s="25" t="str">
        <x:v>circuit-breaker-decision.md</x:v>
      </x:c>
      <x:c r="K50" s="25" t="str">
        <x:v>Đọc lại ví dụ ngay trên trang; ghi câu hỏi cụ thể vào cột Ghi chú; sau 30 phút vẫn bí thì tạo ví dụ nhỏ nhất có thể chạy được.</x:v>
      </x:c>
      <x:c r="L50" s="25" t="str">
        <x:v>Chưa học</x:v>
      </x:c>
      <x:c r="M50" s="25" t="str"/>
    </x:row>
    <x:row r="51" ht="78" customHeight="1">
      <x:c r="A51" s="25" t="n">
        <x:v>15</x:v>
      </x:c>
      <x:c r="B51" s="196" t="n">
        <x:f>'02 Lộ trình 39 tuần'!G19</x:f>
        <x:v>46328</x:v>
      </x:c>
      <x:c r="C51" s="25" t="str">
        <x:v>Timeout, retry, circuit breaker</x:v>
      </x:c>
      <x:c r="D51" s="25" t="n">
        <x:v>2</x:v>
      </x:c>
      <x:c r="E51" s="25" t="str">
        <x:v>Retry có backoff</x:v>
      </x:c>
      <x:c r="F51" s="25" t="str">
        <x:v>https://resilience4j.readme.io/docs/retry</x:v>
      </x:c>
      <x:c r="G51" s="25" t="str">
        <x:v>Đọc Introduction, Create and configure a Retry và Consume emitted events.</x:v>
      </x:c>
      <x:c r="H51" s="299" t="n">
        <x:v>1.5</x:v>
      </x:c>
      <x:c r="I51" s="25" t="str">
        <x:v>Retry 3 lần cho GET idempotent; không retry POST transfer nếu thiếu idempotency key.</x:v>
      </x:c>
      <x:c r="J51" s="25" t="str">
        <x:v>Retry config + tests</x:v>
      </x:c>
      <x:c r="K51" s="25" t="str">
        <x:v>Đọc lại ví dụ ngay trên trang; ghi câu hỏi cụ thể vào cột Ghi chú; sau 30 phút vẫn bí thì tạo ví dụ nhỏ nhất có thể chạy được.</x:v>
      </x:c>
      <x:c r="L51" s="25" t="str">
        <x:v>Chưa học</x:v>
      </x:c>
      <x:c r="M51" s="25" t="str"/>
    </x:row>
    <x:row r="52" ht="78" customHeight="1">
      <x:c r="A52" s="25" t="n">
        <x:v>15</x:v>
      </x:c>
      <x:c r="B52" s="196" t="n">
        <x:f>'02 Lộ trình 39 tuần'!G19</x:f>
        <x:v>46328</x:v>
      </x:c>
      <x:c r="C52" s="25" t="str">
        <x:v>Timeout, retry, circuit breaker</x:v>
      </x:c>
      <x:c r="D52" s="25" t="n">
        <x:v>3</x:v>
      </x:c>
      <x:c r="E52" s="25" t="str">
        <x:v>Bulkhead bảo vệ tài nguyên</x:v>
      </x:c>
      <x:c r="F52" s="25" t="str">
        <x:v>https://resilience4j.readme.io/docs/bulkhead</x:v>
      </x:c>
      <x:c r="G52" s="25" t="str">
        <x:v>Đọc SemaphoreBulkhead và FixedThreadPoolBulkhead.</x:v>
      </x:c>
      <x:c r="H52" s="299" t="n">
        <x:v>1.25</x:v>
      </x:c>
      <x:c r="I52" s="25" t="str">
        <x:v>Giới hạn 10 concurrent calls tới market service; test call thứ 11 bị từ chối nhanh.</x:v>
      </x:c>
      <x:c r="J52" s="25" t="str">
        <x:v>Bulkhead config + load test</x:v>
      </x:c>
      <x:c r="K52" s="25" t="str">
        <x:v>Đọc lại ví dụ ngay trên trang; ghi câu hỏi cụ thể vào cột Ghi chú; sau 30 phút vẫn bí thì tạo ví dụ nhỏ nhất có thể chạy được.</x:v>
      </x:c>
      <x:c r="L52" s="25" t="str">
        <x:v>Chưa học</x:v>
      </x:c>
      <x:c r="M52" s="25" t="str"/>
    </x:row>
    <x:row r="53" ht="78" customHeight="1">
      <x:c r="A53" s="410" t="n">
        <x:v>16</x:v>
      </x:c>
      <x:c r="B53" s="411" t="n">
        <x:f>'02 Lộ trình 39 tuần'!G20</x:f>
        <x:v>46335</x:v>
      </x:c>
      <x:c r="C53" s="410" t="str">
        <x:v>Outbox, Saga và idempotent consumer</x:v>
      </x:c>
      <x:c r="D53" s="410" t="n">
        <x:v>1</x:v>
      </x:c>
      <x:c r="E53" s="410" t="str">
        <x:v>Dual-write problem và transactional outbox</x:v>
      </x:c>
      <x:c r="F53" s="410" t="str">
        <x:v>https://microservices.io/patterns/data/transactional-outbox.html</x:v>
      </x:c>
      <x:c r="G53" s="410" t="str">
        <x:v>Đọc Context, Problem, Forces và Solution.</x:v>
      </x:c>
      <x:c r="H53" s="412" t="n">
        <x:v>1.25</x:v>
      </x:c>
      <x:c r="I53" s="410" t="str">
        <x:v>Vẽ timeline DB commit thành công nhưng Kafka publish thất bại; thiết kế bảng outbox.</x:v>
      </x:c>
      <x:c r="J53" s="410" t="str">
        <x:v>outbox-schema.sql + sequence diagram</x:v>
      </x:c>
      <x:c r="K53" s="410" t="str">
        <x:v>Đọc lại ví dụ ngay trên trang; ghi câu hỏi cụ thể vào cột Ghi chú; sau 30 phút vẫn bí thì tạo ví dụ nhỏ nhất có thể chạy được.</x:v>
      </x:c>
      <x:c r="L53" s="410" t="str">
        <x:v>Chưa học</x:v>
      </x:c>
      <x:c r="M53" s="410" t="str"/>
    </x:row>
    <x:row r="54" ht="78" customHeight="1">
      <x:c r="A54" s="410" t="n">
        <x:v>16</x:v>
      </x:c>
      <x:c r="B54" s="411" t="n">
        <x:f>'02 Lộ trình 39 tuần'!G20</x:f>
        <x:v>46335</x:v>
      </x:c>
      <x:c r="C54" s="410" t="str">
        <x:v>Outbox, Saga và idempotent consumer</x:v>
      </x:c>
      <x:c r="D54" s="410" t="n">
        <x:v>2</x:v>
      </x:c>
      <x:c r="E54" s="410" t="str">
        <x:v>Idempotent consumer</x:v>
      </x:c>
      <x:c r="F54" s="410" t="str">
        <x:v>https://microservices.io/post/microservices/patterns/2020/10/16/idempotent-consumer.html</x:v>
      </x:c>
      <x:c r="G54" s="410" t="str">
        <x:v>Đọc Problem, Solution và hai cách lưu processed message IDs.</x:v>
      </x:c>
      <x:c r="H54" s="412" t="n">
        <x:v>1.25</x:v>
      </x:c>
      <x:c r="I54" s="410" t="str">
        <x:v>Tạo unique constraint consumer_id/message_id; xử lý duplicate trả về no-op.</x:v>
      </x:c>
      <x:c r="J54" s="410" t="str">
        <x:v>IdempotentConsumer IT</x:v>
      </x:c>
      <x:c r="K54" s="410" t="str">
        <x:v>Đọc lại ví dụ ngay trên trang; ghi câu hỏi cụ thể vào cột Ghi chú; sau 30 phút vẫn bí thì tạo ví dụ nhỏ nhất có thể chạy được.</x:v>
      </x:c>
      <x:c r="L54" s="410" t="str">
        <x:v>Chưa học</x:v>
      </x:c>
      <x:c r="M54" s="410" t="str"/>
    </x:row>
    <x:row r="55" ht="78" customHeight="1">
      <x:c r="A55" s="410" t="n">
        <x:v>16</x:v>
      </x:c>
      <x:c r="B55" s="411" t="n">
        <x:f>'02 Lộ trình 39 tuần'!G20</x:f>
        <x:v>46335</x:v>
      </x:c>
      <x:c r="C55" s="410" t="str">
        <x:v>Outbox, Saga và idempotent consumer</x:v>
      </x:c>
      <x:c r="D55" s="410" t="n">
        <x:v>3</x:v>
      </x:c>
      <x:c r="E55" s="410" t="str">
        <x:v>Saga và compensation</x:v>
      </x:c>
      <x:c r="F55" s="410" t="str">
        <x:v>https://microservices.io/patterns/data/saga.html</x:v>
      </x:c>
      <x:c r="G55" s="410" t="str">
        <x:v>Đọc Context, Problem, Solution và Resulting context.</x:v>
      </x:c>
      <x:c r="H55" s="412" t="n">
        <x:v>1.5</x:v>
      </x:c>
      <x:c r="I55" s="410" t="str">
        <x:v>Thiết kế saga Transfer→Limit→Ledger→Notify; nêu timeout và compensation từng bước.</x:v>
      </x:c>
      <x:c r="J55" s="410" t="str">
        <x:v>saga-diagram.md + failure matrix</x:v>
      </x:c>
      <x:c r="K55" s="410" t="str">
        <x:v>Đọc lại ví dụ ngay trên trang; ghi câu hỏi cụ thể vào cột Ghi chú; sau 30 phút vẫn bí thì tạo ví dụ nhỏ nhất có thể chạy được.</x:v>
      </x:c>
      <x:c r="L55" s="410" t="str">
        <x:v>Chưa học</x:v>
      </x:c>
      <x:c r="M55" s="410" t="str"/>
    </x:row>
    <x:row r="56" ht="78" customHeight="1">
      <x:c r="A56" s="25" t="n">
        <x:v>17</x:v>
      </x:c>
      <x:c r="B56" s="196" t="n">
        <x:f>'02 Lộ trình 39 tuần'!G21</x:f>
        <x:v>46342</x:v>
      </x:c>
      <x:c r="C56" s="25" t="str">
        <x:v>Observability</x:v>
      </x:c>
      <x:c r="D56" s="25" t="n">
        <x:v>1</x:v>
      </x:c>
      <x:c r="E56" s="25" t="str">
        <x:v>OpenTelemetry Java: trace đầu tiên</x:v>
      </x:c>
      <x:c r="F56" s="25" t="str">
        <x:v>https://opentelemetry.io/docs/languages/java/getting-started/</x:v>
      </x:c>
      <x:c r="G56" s="25" t="str">
        <x:v>Làm Prerequisites, Example application và Run the application.</x:v>
      </x:c>
      <x:c r="H56" s="299" t="n">
        <x:v>1.5</x:v>
      </x:c>
      <x:c r="I56" s="25" t="str">
        <x:v>Xuất trace cho một HTTP request; xác nhận có service name và trace id.</x:v>
      </x:c>
      <x:c r="J56" s="25" t="str">
        <x:v>ảnh trace + cấu hình OTel</x:v>
      </x:c>
      <x:c r="K56" s="25" t="str">
        <x:v>Đọc lại ví dụ ngay trên trang; ghi câu hỏi cụ thể vào cột Ghi chú; sau 30 phút vẫn bí thì tạo ví dụ nhỏ nhất có thể chạy được.</x:v>
      </x:c>
      <x:c r="L56" s="25" t="str">
        <x:v>Chưa học</x:v>
      </x:c>
      <x:c r="M56" s="25" t="str"/>
    </x:row>
    <x:row r="57" ht="78" customHeight="1">
      <x:c r="A57" s="25" t="n">
        <x:v>17</x:v>
      </x:c>
      <x:c r="B57" s="196" t="n">
        <x:f>'02 Lộ trình 39 tuần'!G21</x:f>
        <x:v>46342</x:v>
      </x:c>
      <x:c r="C57" s="25" t="str">
        <x:v>Observability</x:v>
      </x:c>
      <x:c r="D57" s="25" t="n">
        <x:v>2</x:v>
      </x:c>
      <x:c r="E57" s="25" t="str">
        <x:v>Spring metrics và tracing</x:v>
      </x:c>
      <x:c r="F57" s="25" t="str">
        <x:v>https://docs.spring.io/spring-boot/reference/actuator/observability.html</x:v>
      </x:c>
      <x:c r="G57" s="25" t="str">
        <x:v>Đọc Observability, Low-cardinality tags; sau đó mở Metrics/Tracing và đọc Getting started.</x:v>
      </x:c>
      <x:c r="H57" s="299" t="n">
        <x:v>1.5</x:v>
      </x:c>
      <x:c r="I57" s="25" t="str">
        <x:v>Thêm correlationId; metric transfer_total, transfer_errors và latency.</x:v>
      </x:c>
      <x:c r="J57" s="25" t="str">
        <x:v>metrics endpoint + trace mẫu</x:v>
      </x:c>
      <x:c r="K57" s="25" t="str">
        <x:v>Đọc lại ví dụ ngay trên trang; ghi câu hỏi cụ thể vào cột Ghi chú; sau 30 phút vẫn bí thì tạo ví dụ nhỏ nhất có thể chạy được.</x:v>
      </x:c>
      <x:c r="L57" s="25" t="str">
        <x:v>Chưa học</x:v>
      </x:c>
      <x:c r="M57" s="25" t="str"/>
    </x:row>
    <x:row r="58" ht="78" customHeight="1">
      <x:c r="A58" s="25" t="n">
        <x:v>17</x:v>
      </x:c>
      <x:c r="B58" s="196" t="n">
        <x:f>'02 Lộ trình 39 tuần'!G21</x:f>
        <x:v>46342</x:v>
      </x:c>
      <x:c r="C58" s="25" t="str">
        <x:v>Observability</x:v>
      </x:c>
      <x:c r="D58" s="25" t="n">
        <x:v>3</x:v>
      </x:c>
      <x:c r="E58" s="25" t="str">
        <x:v>Dashboard và alert có hành động</x:v>
      </x:c>
      <x:c r="F58" s="25" t="str">
        <x:v>https://grafana.com/docs/grafana/latest/fundamentals/getting-started/first-dashboards/</x:v>
      </x:c>
      <x:c r="G58" s="25" t="str">
        <x:v>Làm dashboard đầu tiên; sau đó đọc alert rules phần Query/Condition/Evaluation behavior.</x:v>
      </x:c>
      <x:c r="H58" s="299" t="n">
        <x:v>1.5</x:v>
      </x:c>
      <x:c r="I58" s="25" t="str">
        <x:v>Tạo RED dashboard và 2 alert: error rate, p95 latency; mỗi alert có runbook.</x:v>
      </x:c>
      <x:c r="J58" s="25" t="str">
        <x:v>Grafana dashboard JSON + alert rules</x:v>
      </x:c>
      <x:c r="K58" s="25" t="str">
        <x:v>Đọc lại ví dụ ngay trên trang; ghi câu hỏi cụ thể vào cột Ghi chú; sau 30 phút vẫn bí thì tạo ví dụ nhỏ nhất có thể chạy được.</x:v>
      </x:c>
      <x:c r="L58" s="25" t="str">
        <x:v>Chưa học</x:v>
      </x:c>
      <x:c r="M58" s="25" t="str"/>
    </x:row>
    <x:row r="59" ht="78" customHeight="1">
      <x:c r="A59" s="410" t="n">
        <x:v>18</x:v>
      </x:c>
      <x:c r="B59" s="411" t="n">
        <x:f>'02 Lộ trình 39 tuần'!G22</x:f>
        <x:v>46349</x:v>
      </x:c>
      <x:c r="C59" s="410" t="str">
        <x:v>Nghiệp vụ tài khoản, số dư và ledger</x:v>
      </x:c>
      <x:c r="D59" s="410" t="n">
        <x:v>1</x:v>
      </x:c>
      <x:c r="E59" s="410" t="str">
        <x:v>Ledger là nguồn sự thật</x:v>
      </x:c>
      <x:c r="F59" s="410" t="str">
        <x:v>https://www.moderntreasury.com/journal/how-to-scale-a-ledger-part-i</x:v>
      </x:c>
      <x:c r="G59" s="410" t="str">
        <x:v>Đọc toàn bài; ghi lại các yêu cầu immutability, auditability và consistency.</x:v>
      </x:c>
      <x:c r="H59" s="412" t="n">
        <x:v>1.5</x:v>
      </x:c>
      <x:c r="I59" s="410" t="str">
        <x:v>Vẽ account, transaction, entry; nêu dữ liệu nào được phép cache và dữ liệu nào là source of truth.</x:v>
      </x:c>
      <x:c r="J59" s="410" t="str">
        <x:v>ledger-domain-notes.md</x:v>
      </x:c>
      <x:c r="K59" s="410" t="str">
        <x:v>Đọc lại ví dụ ngay trên trang; ghi câu hỏi cụ thể vào cột Ghi chú; sau 30 phút vẫn bí thì tạo ví dụ nhỏ nhất có thể chạy được.</x:v>
      </x:c>
      <x:c r="L59" s="410" t="str">
        <x:v>Chưa học</x:v>
      </x:c>
      <x:c r="M59" s="410" t="str"/>
    </x:row>
    <x:row r="60" ht="78" customHeight="1">
      <x:c r="A60" s="410" t="n">
        <x:v>18</x:v>
      </x:c>
      <x:c r="B60" s="411" t="n">
        <x:f>'02 Lộ trình 39 tuần'!G22</x:f>
        <x:v>46349</x:v>
      </x:c>
      <x:c r="C60" s="410" t="str">
        <x:v>Nghiệp vụ tài khoản, số dư và ledger</x:v>
      </x:c>
      <x:c r="D60" s="410" t="n">
        <x:v>2</x:v>
      </x:c>
      <x:c r="E60" s="410" t="str">
        <x:v>Double-entry ledger</x:v>
      </x:c>
      <x:c r="F60" s="410" t="str">
        <x:v>https://www.moderntreasury.com/journal/how-to-scale-a-ledger-part-ii</x:v>
      </x:c>
      <x:c r="G60" s="410" t="str">
        <x:v>Đọc phần double-entry, chart of accounts và balancing entries.</x:v>
      </x:c>
      <x:c r="H60" s="412" t="n">
        <x:v>1.5</x:v>
      </x:c>
      <x:c r="I60" s="410" t="str">
        <x:v>Tính tay 5 giao dịch nạp/rút/chuyển; mọi giao dịch phải cân bằng.</x:v>
      </x:c>
      <x:c r="J60" s="410" t="str">
        <x:v>ledger-examples.xlsx/csv</x:v>
      </x:c>
      <x:c r="K60" s="410" t="str">
        <x:v>Đọc lại ví dụ ngay trên trang; ghi câu hỏi cụ thể vào cột Ghi chú; sau 30 phút vẫn bí thì tạo ví dụ nhỏ nhất có thể chạy được.</x:v>
      </x:c>
      <x:c r="L60" s="410" t="str">
        <x:v>Chưa học</x:v>
      </x:c>
      <x:c r="M60" s="410" t="str"/>
    </x:row>
    <x:row r="61" ht="78" customHeight="1">
      <x:c r="A61" s="410" t="n">
        <x:v>18</x:v>
      </x:c>
      <x:c r="B61" s="411" t="n">
        <x:f>'02 Lộ trình 39 tuần'!G22</x:f>
        <x:v>46349</x:v>
      </x:c>
      <x:c r="C61" s="410" t="str">
        <x:v>Nghiệp vụ tài khoản, số dư và ledger</x:v>
      </x:c>
      <x:c r="D61" s="410" t="n">
        <x:v>3</x:v>
      </x:c>
      <x:c r="E61" s="410" t="str">
        <x:v>Posted, pending, available balance</x:v>
      </x:c>
      <x:c r="F61" s="410" t="str">
        <x:v>https://www.moderntreasury.com/journal/fintech-eng-challenges-part-i-different-balance-types-in-a-wallet</x:v>
      </x:c>
      <x:c r="G61" s="410" t="str">
        <x:v>Đọc toàn bài; lập bảng định nghĩa từng balance và quy tắc thay đổi.</x:v>
      </x:c>
      <x:c r="H61" s="412" t="n">
        <x:v>1.5</x:v>
      </x:c>
      <x:c r="I61" s="410" t="str">
        <x:v>Viết 12 business rules; dịch song ngữ Việt–Anh.</x:v>
      </x:c>
      <x:c r="J61" s="410" t="str">
        <x:v>banking-glossary.md + business-rules.md</x:v>
      </x:c>
      <x:c r="K61" s="410" t="str">
        <x:v>Đọc lại ví dụ ngay trên trang; ghi câu hỏi cụ thể vào cột Ghi chú; sau 30 phút vẫn bí thì tạo ví dụ nhỏ nhất có thể chạy được.</x:v>
      </x:c>
      <x:c r="L61" s="410" t="str">
        <x:v>Chưa học</x:v>
      </x:c>
      <x:c r="M61" s="410" t="str"/>
    </x:row>
    <x:row r="62" ht="78" customHeight="1">
      <x:c r="A62" s="25" t="n">
        <x:v>19</x:v>
      </x:c>
      <x:c r="B62" s="196" t="n">
        <x:f>'02 Lộ trình 39 tuần'!G23</x:f>
        <x:v>46356</x:v>
      </x:c>
      <x:c r="C62" s="25" t="str">
        <x:v>Kiến trúc dự án ngân hàng</x:v>
      </x:c>
      <x:c r="D62" s="25" t="n">
        <x:v>1</x:v>
      </x:c>
      <x:c r="E62" s="25" t="str">
        <x:v>C4: context và container</x:v>
      </x:c>
      <x:c r="F62" s="25" t="str">
        <x:v>https://c4model.com/</x:v>
      </x:c>
      <x:c r="G62" s="25" t="str">
        <x:v>Đọc Abstractions và Diagrams; chỉ làm System Context và Container trước.</x:v>
      </x:c>
      <x:c r="H62" s="299" t="n">
        <x:v>1.5</x:v>
      </x:c>
      <x:c r="I62" s="25" t="str">
        <x:v>Vẽ người dùng, identity provider, banking API, DB, Kafka, Redis.</x:v>
      </x:c>
      <x:c r="J62" s="25" t="str">
        <x:v>C4 context + container</x:v>
      </x:c>
      <x:c r="K62" s="25" t="str">
        <x:v>Đọc lại ví dụ ngay trên trang; ghi câu hỏi cụ thể vào cột Ghi chú; sau 30 phút vẫn bí thì tạo ví dụ nhỏ nhất có thể chạy được.</x:v>
      </x:c>
      <x:c r="L62" s="25" t="str">
        <x:v>Chưa học</x:v>
      </x:c>
      <x:c r="M62" s="25" t="str"/>
    </x:row>
    <x:row r="63" ht="78" customHeight="1">
      <x:c r="A63" s="25" t="n">
        <x:v>19</x:v>
      </x:c>
      <x:c r="B63" s="196" t="n">
        <x:f>'02 Lộ trình 39 tuần'!G23</x:f>
        <x:v>46356</x:v>
      </x:c>
      <x:c r="C63" s="25" t="str">
        <x:v>Kiến trúc dự án ngân hàng</x:v>
      </x:c>
      <x:c r="D63" s="25" t="n">
        <x:v>2</x:v>
      </x:c>
      <x:c r="E63" s="25" t="str">
        <x:v>API contract cho account/transfer</x:v>
      </x:c>
      <x:c r="F63" s="25" t="str">
        <x:v>https://spec.openapis.org/oas/latest.html</x:v>
      </x:c>
      <x:c r="G63" s="25" t="str">
        <x:v>Đọc Paths, Operations, Parameter, Request Body, Responses và Security Requirement.</x:v>
      </x:c>
      <x:c r="H63" s="299" t="n">
        <x:v>1.5</x:v>
      </x:c>
      <x:c r="I63" s="25" t="str">
        <x:v>Viết OpenAPI cho create account, get balance, create/get transfer.</x:v>
      </x:c>
      <x:c r="J63" s="25" t="str">
        <x:v>openapi.yaml validate được</x:v>
      </x:c>
      <x:c r="K63" s="25" t="str">
        <x:v>Đọc lại ví dụ ngay trên trang; ghi câu hỏi cụ thể vào cột Ghi chú; sau 30 phút vẫn bí thì tạo ví dụ nhỏ nhất có thể chạy được.</x:v>
      </x:c>
      <x:c r="L63" s="25" t="str">
        <x:v>Chưa học</x:v>
      </x:c>
      <x:c r="M63" s="25" t="str"/>
    </x:row>
    <x:row r="64" ht="78" customHeight="1">
      <x:c r="A64" s="25" t="n">
        <x:v>19</x:v>
      </x:c>
      <x:c r="B64" s="196" t="n">
        <x:f>'02 Lộ trình 39 tuần'!G23</x:f>
        <x:v>46356</x:v>
      </x:c>
      <x:c r="C64" s="25" t="str">
        <x:v>Kiến trúc dự án ngân hàng</x:v>
      </x:c>
      <x:c r="D64" s="25" t="n">
        <x:v>3</x:v>
      </x:c>
      <x:c r="E64" s="25" t="str">
        <x:v>Well-Architected review</x:v>
      </x:c>
      <x:c r="F64" s="25" t="str">
        <x:v>https://docs.aws.amazon.com/wellarchitected/latest/framework/welcome.html</x:v>
      </x:c>
      <x:c r="G64" s="25" t="str">
        <x:v>Đọc 6 pillars ở mức overview; tập trung Reliability, Security, Cost Optimization.</x:v>
      </x:c>
      <x:c r="H64" s="299" t="n">
        <x:v>1.25</x:v>
      </x:c>
      <x:c r="I64" s="25" t="str">
        <x:v>Ghi 2 rủi ro/pillar và quyết định giảm thiểu phù hợp dự án nhỏ.</x:v>
      </x:c>
      <x:c r="J64" s="25" t="str">
        <x:v>architecture-risk-register.md</x:v>
      </x:c>
      <x:c r="K64" s="25" t="str">
        <x:v>Đọc lại ví dụ ngay trên trang; ghi câu hỏi cụ thể vào cột Ghi chú; sau 30 phút vẫn bí thì tạo ví dụ nhỏ nhất có thể chạy được.</x:v>
      </x:c>
      <x:c r="L64" s="25" t="str">
        <x:v>Chưa học</x:v>
      </x:c>
      <x:c r="M64" s="25" t="str"/>
    </x:row>
    <x:row r="65" ht="78" customHeight="1">
      <x:c r="A65" s="410" t="n">
        <x:v>20</x:v>
      </x:c>
      <x:c r="B65" s="411" t="n">
        <x:f>'02 Lộ trình 39 tuần'!G24</x:f>
        <x:v>46363</x:v>
      </x:c>
      <x:c r="C65" s="410" t="str">
        <x:v>Customer và Account module</x:v>
      </x:c>
      <x:c r="D65" s="410" t="n">
        <x:v>1</x:v>
      </x:c>
      <x:c r="E65" s="410" t="str">
        <x:v>Auditing entity</x:v>
      </x:c>
      <x:c r="F65" s="410" t="str">
        <x:v>https://docs.spring.io/spring-data/jpa/reference/auditing.html</x:v>
      </x:c>
      <x:c r="G65" s="410" t="str">
        <x:v>Đọc Basics, Annotation-based Auditing Metadata và AuditorAware.</x:v>
      </x:c>
      <x:c r="H65" s="412" t="n">
        <x:v>1.25</x:v>
      </x:c>
      <x:c r="I65" s="410" t="str">
        <x:v>Thêm createdAt/updatedAt/createdBy/updatedBy; test auditor hiện tại.</x:v>
      </x:c>
      <x:c r="J65" s="410" t="str">
        <x:v>AuditedEntity + tests</x:v>
      </x:c>
      <x:c r="K65" s="410" t="str">
        <x:v>Đọc lại ví dụ ngay trên trang; ghi câu hỏi cụ thể vào cột Ghi chú; sau 30 phút vẫn bí thì tạo ví dụ nhỏ nhất có thể chạy được.</x:v>
      </x:c>
      <x:c r="L65" s="410" t="str">
        <x:v>Chưa học</x:v>
      </x:c>
      <x:c r="M65" s="410" t="str"/>
    </x:row>
    <x:row r="66" ht="78" customHeight="1">
      <x:c r="A66" s="410" t="n">
        <x:v>20</x:v>
      </x:c>
      <x:c r="B66" s="411" t="n">
        <x:f>'02 Lộ trình 39 tuần'!G24</x:f>
        <x:v>46363</x:v>
      </x:c>
      <x:c r="C66" s="410" t="str">
        <x:v>Customer và Account module</x:v>
      </x:c>
      <x:c r="D66" s="410" t="n">
        <x:v>2</x:v>
      </x:c>
      <x:c r="E66" s="410" t="str">
        <x:v>Migration bằng Flyway</x:v>
      </x:c>
      <x:c r="F66" s="410" t="str">
        <x:v>https://documentation.red-gate.com/flyway/getting-started-with-flyway/quickstart-guides/quickstart-maven</x:v>
      </x:c>
      <x:c r="G66" s="410" t="str">
        <x:v>Làm Maven quickstart đến bước chạy migrate và kiểm tra schema history.</x:v>
      </x:c>
      <x:c r="H66" s="412" t="n">
        <x:v>1.25</x:v>
      </x:c>
      <x:c r="I66" s="410" t="str">
        <x:v>Tạo V1 customer/account, V2 unique constraints/index; chạy từ DB rỗng.</x:v>
      </x:c>
      <x:c r="J66" s="410" t="str">
        <x:v>2 migration files + log</x:v>
      </x:c>
      <x:c r="K66" s="410" t="str">
        <x:v>Đọc lại ví dụ ngay trên trang; ghi câu hỏi cụ thể vào cột Ghi chú; sau 30 phút vẫn bí thì tạo ví dụ nhỏ nhất có thể chạy được.</x:v>
      </x:c>
      <x:c r="L66" s="410" t="str">
        <x:v>Chưa học</x:v>
      </x:c>
      <x:c r="M66" s="410" t="str"/>
    </x:row>
    <x:row r="67" ht="78" customHeight="1">
      <x:c r="A67" s="410" t="n">
        <x:v>20</x:v>
      </x:c>
      <x:c r="B67" s="411" t="n">
        <x:f>'02 Lộ trình 39 tuần'!G24</x:f>
        <x:v>46363</x:v>
      </x:c>
      <x:c r="C67" s="410" t="str">
        <x:v>Customer và Account module</x:v>
      </x:c>
      <x:c r="D67" s="410" t="n">
        <x:v>3</x:v>
      </x:c>
      <x:c r="E67" s="410" t="str">
        <x:v>Projection cho API đọc</x:v>
      </x:c>
      <x:c r="F67" s="410" t="str">
        <x:v>https://docs.spring.io/spring-data/jpa/reference/repositories/projections.html</x:v>
      </x:c>
      <x:c r="G67" s="410" t="str">
        <x:v>Đọc Interface-based Projections và DTO projections.</x:v>
      </x:c>
      <x:c r="H67" s="412" t="n">
        <x:v>1.25</x:v>
      </x:c>
      <x:c r="I67" s="410" t="str">
        <x:v>Tạo AccountSummary projection tránh load entity graph; kiểm tra SQL.</x:v>
      </x:c>
      <x:c r="J67" s="410" t="str">
        <x:v>projection + repository test</x:v>
      </x:c>
      <x:c r="K67" s="410" t="str">
        <x:v>Đọc lại ví dụ ngay trên trang; ghi câu hỏi cụ thể vào cột Ghi chú; sau 30 phút vẫn bí thì tạo ví dụ nhỏ nhất có thể chạy được.</x:v>
      </x:c>
      <x:c r="L67" s="410" t="str">
        <x:v>Chưa học</x:v>
      </x:c>
      <x:c r="M67" s="410" t="str"/>
    </x:row>
    <x:row r="68" ht="78" customHeight="1">
      <x:c r="A68" s="25" t="n">
        <x:v>21</x:v>
      </x:c>
      <x:c r="B68" s="196" t="n">
        <x:f>'02 Lộ trình 39 tuần'!G25</x:f>
        <x:v>46370</x:v>
      </x:c>
      <x:c r="C68" s="25" t="str">
        <x:v>Double-entry và reversal</x:v>
      </x:c>
      <x:c r="D68" s="25" t="n">
        <x:v>1</x:v>
      </x:c>
      <x:c r="E68" s="25" t="str">
        <x:v>Debit/Credit trong hệ thống tài chính</x:v>
      </x:c>
      <x:c r="F68" s="25" t="str">
        <x:v>https://docs.tigerbeetle.com/concepts/debit-credit/</x:v>
      </x:c>
      <x:c r="G68" s="25" t="str">
        <x:v>Đọc toàn trang; tập trung dấu debit/credit theo loại tài khoản.</x:v>
      </x:c>
      <x:c r="H68" s="299" t="n">
        <x:v>1.5</x:v>
      </x:c>
      <x:c r="I68" s="25" t="str">
        <x:v>Lập chart of accounts tối thiểu cho cash, customer liability, fee revenue.</x:v>
      </x:c>
      <x:c r="J68" s="25" t="str">
        <x:v>chart-of-accounts.md</x:v>
      </x:c>
      <x:c r="K68" s="25" t="str">
        <x:v>Đọc lại ví dụ ngay trên trang; ghi câu hỏi cụ thể vào cột Ghi chú; sau 30 phút vẫn bí thì tạo ví dụ nhỏ nhất có thể chạy được.</x:v>
      </x:c>
      <x:c r="L68" s="25" t="str">
        <x:v>Chưa học</x:v>
      </x:c>
      <x:c r="M68" s="25" t="str"/>
    </x:row>
    <x:row r="69" ht="78" customHeight="1">
      <x:c r="A69" s="25" t="n">
        <x:v>21</x:v>
      </x:c>
      <x:c r="B69" s="196" t="n">
        <x:f>'02 Lộ trình 39 tuần'!G25</x:f>
        <x:v>46370</x:v>
      </x:c>
      <x:c r="C69" s="25" t="str">
        <x:v>Double-entry và reversal</x:v>
      </x:c>
      <x:c r="D69" s="25" t="n">
        <x:v>2</x:v>
      </x:c>
      <x:c r="E69" s="25" t="str">
        <x:v>Mô hình transaction/transfer bất biến</x:v>
      </x:c>
      <x:c r="F69" s="25" t="str">
        <x:v>https://docs.tigerbeetle.com/coding/financial-accounting/</x:v>
      </x:c>
      <x:c r="G69" s="25" t="str">
        <x:v>Đọc Financial accounting và Double-entry bookkeeping.</x:v>
      </x:c>
      <x:c r="H69" s="299" t="n">
        <x:v>1.5</x:v>
      </x:c>
      <x:c r="I69" s="25" t="str">
        <x:v>Cài invariant: tổng debit = tổng credit; entries chỉ append.</x:v>
      </x:c>
      <x:c r="J69" s="25" t="str">
        <x:v>LedgerService + invariant tests</x:v>
      </x:c>
      <x:c r="K69" s="25" t="str">
        <x:v>Đọc lại ví dụ ngay trên trang; ghi câu hỏi cụ thể vào cột Ghi chú; sau 30 phút vẫn bí thì tạo ví dụ nhỏ nhất có thể chạy được.</x:v>
      </x:c>
      <x:c r="L69" s="25" t="str">
        <x:v>Chưa học</x:v>
      </x:c>
      <x:c r="M69" s="25" t="str"/>
    </x:row>
    <x:row r="70" ht="78" customHeight="1">
      <x:c r="A70" s="25" t="n">
        <x:v>21</x:v>
      </x:c>
      <x:c r="B70" s="196" t="n">
        <x:f>'02 Lộ trình 39 tuần'!G25</x:f>
        <x:v>46370</x:v>
      </x:c>
      <x:c r="C70" s="25" t="str">
        <x:v>Double-entry và reversal</x:v>
      </x:c>
      <x:c r="D70" s="25" t="n">
        <x:v>3</x:v>
      </x:c>
      <x:c r="E70" s="25" t="str">
        <x:v>Sửa sai bằng reversal</x:v>
      </x:c>
      <x:c r="F70" s="25" t="str">
        <x:v>https://docs.tigerbeetle.com/coding/recipes/correcting-transfers/</x:v>
      </x:c>
      <x:c r="G70" s="25" t="str">
        <x:v>Đọc toàn recipe; chú ý linked events và đối chiếu giao dịch gốc.</x:v>
      </x:c>
      <x:c r="H70" s="299" t="n">
        <x:v>1.25</x:v>
      </x:c>
      <x:c r="I70" s="25" t="str">
        <x:v>Tạo reversal API; cấm UPDATE/DELETE entry đã posted.</x:v>
      </x:c>
      <x:c r="J70" s="25" t="str">
        <x:v>Reversal flow + tests</x:v>
      </x:c>
      <x:c r="K70" s="25" t="str">
        <x:v>Đọc lại ví dụ ngay trên trang; ghi câu hỏi cụ thể vào cột Ghi chú; sau 30 phút vẫn bí thì tạo ví dụ nhỏ nhất có thể chạy được.</x:v>
      </x:c>
      <x:c r="L70" s="25" t="str">
        <x:v>Chưa học</x:v>
      </x:c>
      <x:c r="M70" s="25" t="str"/>
    </x:row>
    <x:row r="71" ht="78" customHeight="1">
      <x:c r="A71" s="410" t="n">
        <x:v>22</x:v>
      </x:c>
      <x:c r="B71" s="411" t="n">
        <x:f>'02 Lộ trình 39 tuần'!G26</x:f>
        <x:v>46377</x:v>
      </x:c>
      <x:c r="C71" s="410" t="str">
        <x:v>Transfer concurrency và idempotency</x:v>
      </x:c>
      <x:c r="D71" s="410" t="n">
        <x:v>1</x:v>
      </x:c>
      <x:c r="E71" s="410" t="str">
        <x:v>Row locks và deadlock</x:v>
      </x:c>
      <x:c r="F71" s="410" t="str">
        <x:v>https://www.postgresql.org/docs/current/explicit-locking.html</x:v>
      </x:c>
      <x:c r="G71" s="410" t="str">
        <x:v>Đọc Row-level Locks và Deadlocks.</x:v>
      </x:c>
      <x:c r="H71" s="412" t="n">
        <x:v>1.5</x:v>
      </x:c>
      <x:c r="I71" s="410" t="str">
        <x:v>Khóa account theo thứ tự accountId tăng dần; viết test hai transfer ngược chiều.</x:v>
      </x:c>
      <x:c r="J71" s="410" t="str">
        <x:v>deadlock-safe transfer test</x:v>
      </x:c>
      <x:c r="K71" s="410" t="str">
        <x:v>Đọc lại ví dụ ngay trên trang; ghi câu hỏi cụ thể vào cột Ghi chú; sau 30 phút vẫn bí thì tạo ví dụ nhỏ nhất có thể chạy được.</x:v>
      </x:c>
      <x:c r="L71" s="410" t="str">
        <x:v>Chưa học</x:v>
      </x:c>
      <x:c r="M71" s="410" t="str"/>
    </x:row>
    <x:row r="72" ht="78" customHeight="1">
      <x:c r="A72" s="410" t="n">
        <x:v>22</x:v>
      </x:c>
      <x:c r="B72" s="411" t="n">
        <x:f>'02 Lộ trình 39 tuần'!G26</x:f>
        <x:v>46377</x:v>
      </x:c>
      <x:c r="C72" s="410" t="str">
        <x:v>Transfer concurrency và idempotency</x:v>
      </x:c>
      <x:c r="D72" s="410" t="n">
        <x:v>2</x:v>
      </x:c>
      <x:c r="E72" s="410" t="str">
        <x:v>Idempotency key</x:v>
      </x:c>
      <x:c r="F72" s="410" t="str">
        <x:v>https://microservices.io/post/microservices/patterns/2020/10/16/idempotent-consumer.html</x:v>
      </x:c>
      <x:c r="G72" s="410" t="str">
        <x:v>Đọc lại Solution; áp dụng unique key ở request boundary thay vì message consumer.</x:v>
      </x:c>
      <x:c r="H72" s="412" t="n">
        <x:v>1.25</x:v>
      </x:c>
      <x:c r="I72" s="410" t="str">
        <x:v>Cùng idempotency key gọi 10 lần đồng thời chỉ tạo một transfer.</x:v>
      </x:c>
      <x:c r="J72" s="410" t="str">
        <x:v>Idempotency IT</x:v>
      </x:c>
      <x:c r="K72" s="410" t="str">
        <x:v>Đọc lại ví dụ ngay trên trang; ghi câu hỏi cụ thể vào cột Ghi chú; sau 30 phút vẫn bí thì tạo ví dụ nhỏ nhất có thể chạy được.</x:v>
      </x:c>
      <x:c r="L72" s="410" t="str">
        <x:v>Chưa học</x:v>
      </x:c>
      <x:c r="M72" s="410" t="str"/>
    </x:row>
    <x:row r="73" ht="78" customHeight="1">
      <x:c r="A73" s="410" t="n">
        <x:v>22</x:v>
      </x:c>
      <x:c r="B73" s="411" t="n">
        <x:f>'02 Lộ trình 39 tuần'!G26</x:f>
        <x:v>46377</x:v>
      </x:c>
      <x:c r="C73" s="410" t="str">
        <x:v>Transfer concurrency và idempotency</x:v>
      </x:c>
      <x:c r="D73" s="410" t="n">
        <x:v>3</x:v>
      </x:c>
      <x:c r="E73" s="410" t="str">
        <x:v>Serializable retry</x:v>
      </x:c>
      <x:c r="F73" s="410" t="str">
        <x:v>https://www.postgresql.org/docs/current/transaction-iso.html</x:v>
      </x:c>
      <x:c r="G73" s="410" t="str">
        <x:v>Đọc Serializable Isolation Level và serialization failure.</x:v>
      </x:c>
      <x:c r="H73" s="412" t="n">
        <x:v>1.25</x:v>
      </x:c>
      <x:c r="I73" s="410" t="str">
        <x:v>Thử transaction SERIALIZABLE; retry có giới hạn khi SQLSTATE 40001.</x:v>
      </x:c>
      <x:c r="J73" s="410" t="str">
        <x:v>serializable-retry.md + test</x:v>
      </x:c>
      <x:c r="K73" s="410" t="str">
        <x:v>Đọc lại ví dụ ngay trên trang; ghi câu hỏi cụ thể vào cột Ghi chú; sau 30 phút vẫn bí thì tạo ví dụ nhỏ nhất có thể chạy được.</x:v>
      </x:c>
      <x:c r="L73" s="410" t="str">
        <x:v>Chưa học</x:v>
      </x:c>
      <x:c r="M73" s="410" t="str"/>
    </x:row>
    <x:row r="74" ht="78" customHeight="1">
      <x:c r="A74" s="25" t="n">
        <x:v>23</x:v>
      </x:c>
      <x:c r="B74" s="196" t="n">
        <x:f>'02 Lộ trình 39 tuần'!G27</x:f>
        <x:v>46384</x:v>
      </x:c>
      <x:c r="C74" s="25" t="str">
        <x:v>Outbox và transaction events</x:v>
      </x:c>
      <x:c r="D74" s="25" t="n">
        <x:v>1</x:v>
      </x:c>
      <x:c r="E74" s="25" t="str">
        <x:v>Outbox schema và polling</x:v>
      </x:c>
      <x:c r="F74" s="25" t="str">
        <x:v>https://microservices.io/patterns/data/transactional-outbox.html</x:v>
      </x:c>
      <x:c r="G74" s="25" t="str">
        <x:v>Đọc lại Solution; tập trung ordering và relay failure.</x:v>
      </x:c>
      <x:c r="H74" s="299" t="n">
        <x:v>1.25</x:v>
      </x:c>
      <x:c r="I74" s="25" t="str">
        <x:v>Cài bảng outbox có aggregate_id, type, version, payload, created_at, published_at.</x:v>
      </x:c>
      <x:c r="J74" s="25" t="str">
        <x:v>outbox migration + publisher</x:v>
      </x:c>
      <x:c r="K74" s="25" t="str">
        <x:v>Đọc lại ví dụ ngay trên trang; ghi câu hỏi cụ thể vào cột Ghi chú; sau 30 phút vẫn bí thì tạo ví dụ nhỏ nhất có thể chạy được.</x:v>
      </x:c>
      <x:c r="L74" s="25" t="str">
        <x:v>Chưa học</x:v>
      </x:c>
      <x:c r="M74" s="25" t="str"/>
    </x:row>
    <x:row r="75" ht="78" customHeight="1">
      <x:c r="A75" s="25" t="n">
        <x:v>23</x:v>
      </x:c>
      <x:c r="B75" s="196" t="n">
        <x:f>'02 Lộ trình 39 tuần'!G27</x:f>
        <x:v>46384</x:v>
      </x:c>
      <x:c r="C75" s="25" t="str">
        <x:v>Outbox và transaction events</x:v>
      </x:c>
      <x:c r="D75" s="25" t="n">
        <x:v>2</x:v>
      </x:c>
      <x:c r="E75" s="25" t="str">
        <x:v>Event contract/version</x:v>
      </x:c>
      <x:c r="F75" s="25" t="str">
        <x:v>https://kafka.apache.org/documentation/</x:v>
      </x:c>
      <x:c r="G75" s="25" t="str">
        <x:v>Đọc phần Serialization; ghi quy tắc compatibility trong phạm vi JSON.</x:v>
      </x:c>
      <x:c r="H75" s="299" t="n">
        <x:v>1.25</x:v>
      </x:c>
      <x:c r="I75" s="25" t="str">
        <x:v>Tạo TransactionCompleted v1 gồm eventId, occurredAt, traceId, aggregateVersion.</x:v>
      </x:c>
      <x:c r="J75" s="25" t="str">
        <x:v>event-schema.json + contract tests</x:v>
      </x:c>
      <x:c r="K75" s="25" t="str">
        <x:v>Đọc lại ví dụ ngay trên trang; ghi câu hỏi cụ thể vào cột Ghi chú; sau 30 phút vẫn bí thì tạo ví dụ nhỏ nhất có thể chạy được.</x:v>
      </x:c>
      <x:c r="L75" s="25" t="str">
        <x:v>Chưa học</x:v>
      </x:c>
      <x:c r="M75" s="25" t="str"/>
    </x:row>
    <x:row r="76" ht="78" customHeight="1">
      <x:c r="A76" s="25" t="n">
        <x:v>23</x:v>
      </x:c>
      <x:c r="B76" s="196" t="n">
        <x:f>'02 Lộ trình 39 tuần'!G27</x:f>
        <x:v>46384</x:v>
      </x:c>
      <x:c r="C76" s="25" t="str">
        <x:v>Outbox và transaction events</x:v>
      </x:c>
      <x:c r="D76" s="25" t="n">
        <x:v>3</x:v>
      </x:c>
      <x:c r="E76" s="25" t="str">
        <x:v>Retry/DLT/replay</x:v>
      </x:c>
      <x:c r="F76" s="25" t="str">
        <x:v>https://docs.spring.io/spring-kafka/reference/retrytopic/how-the-pattern-works.html</x:v>
      </x:c>
      <x:c r="G76" s="25" t="str">
        <x:v>Đọc lại offset handling; đối chiếu Spring Kafka DLT.</x:v>
      </x:c>
      <x:c r="H76" s="299" t="n">
        <x:v>1.5</x:v>
      </x:c>
      <x:c r="I76" s="25" t="str">
        <x:v>Dừng app ngay sau DB commit, khởi động lại và chứng minh event không mất/không tác động trùng.</x:v>
      </x:c>
      <x:c r="J76" s="25" t="str">
        <x:v>crash-recovery IT + runbook</x:v>
      </x:c>
      <x:c r="K76" s="25" t="str">
        <x:v>Đọc lại ví dụ ngay trên trang; ghi câu hỏi cụ thể vào cột Ghi chú; sau 30 phút vẫn bí thì tạo ví dụ nhỏ nhất có thể chạy được.</x:v>
      </x:c>
      <x:c r="L76" s="25" t="str">
        <x:v>Chưa học</x:v>
      </x:c>
      <x:c r="M76" s="25" t="str"/>
    </x:row>
    <x:row r="77" ht="78" customHeight="1">
      <x:c r="A77" s="410" t="n">
        <x:v>24</x:v>
      </x:c>
      <x:c r="B77" s="411" t="n">
        <x:f>'02 Lộ trình 39 tuần'!G28</x:f>
        <x:v>46391</x:v>
      </x:c>
      <x:c r="C77" s="410" t="str">
        <x:v>Security và audit trail</x:v>
      </x:c>
      <x:c r="D77" s="410" t="n">
        <x:v>1</x:v>
      </x:c>
      <x:c r="E77" s="410" t="str">
        <x:v>ASVS checklist tối thiểu</x:v>
      </x:c>
      <x:c r="F77" s="410" t="str">
        <x:v>https://owasp.org/www-project-application-security-verification-standard/</x:v>
      </x:c>
      <x:c r="G77" s="410" t="str">
        <x:v>Mở ASVS requirements; chọn V2 Authentication, V4 Access Control, V7 Error/Logging, V8 Data Protection.</x:v>
      </x:c>
      <x:c r="H77" s="412" t="n">
        <x:v>1.5</x:v>
      </x:c>
      <x:c r="I77" s="410" t="str">
        <x:v>Chọn 15 control phù hợp API; ghi Pass/Fail/Evidence.</x:v>
      </x:c>
      <x:c r="J77" s="410" t="str">
        <x:v>security-checklist.xlsx/md</x:v>
      </x:c>
      <x:c r="K77" s="410" t="str">
        <x:v>Đọc lại ví dụ ngay trên trang; ghi câu hỏi cụ thể vào cột Ghi chú; sau 30 phút vẫn bí thì tạo ví dụ nhỏ nhất có thể chạy được.</x:v>
      </x:c>
      <x:c r="L77" s="410" t="str">
        <x:v>Chưa học</x:v>
      </x:c>
      <x:c r="M77" s="410" t="str"/>
    </x:row>
    <x:row r="78" ht="78" customHeight="1">
      <x:c r="A78" s="410" t="n">
        <x:v>24</x:v>
      </x:c>
      <x:c r="B78" s="411" t="n">
        <x:f>'02 Lộ trình 39 tuần'!G28</x:f>
        <x:v>46391</x:v>
      </x:c>
      <x:c r="C78" s="410" t="str">
        <x:v>Security và audit trail</x:v>
      </x:c>
      <x:c r="D78" s="410" t="n">
        <x:v>2</x:v>
      </x:c>
      <x:c r="E78" s="410" t="str">
        <x:v>Ownership authorization</x:v>
      </x:c>
      <x:c r="F78" s="410" t="str">
        <x:v>https://docs.spring.io/spring-security/reference/servlet/authorization/method-security.html</x:v>
      </x:c>
      <x:c r="G78" s="410" t="str">
        <x:v>Đọc Customizing Method Security; tập trung custom bean trong SpEL.</x:v>
      </x:c>
      <x:c r="H78" s="412" t="n">
        <x:v>1.25</x:v>
      </x:c>
      <x:c r="I78" s="410" t="str">
        <x:v>Tạo @PreAuthorize kiểm tra account ownership; test horizontal privilege escalation.</x:v>
      </x:c>
      <x:c r="J78" s="410" t="str">
        <x:v>authorization service + tests</x:v>
      </x:c>
      <x:c r="K78" s="410" t="str">
        <x:v>Đọc lại ví dụ ngay trên trang; ghi câu hỏi cụ thể vào cột Ghi chú; sau 30 phút vẫn bí thì tạo ví dụ nhỏ nhất có thể chạy được.</x:v>
      </x:c>
      <x:c r="L78" s="410" t="str">
        <x:v>Chưa học</x:v>
      </x:c>
      <x:c r="M78" s="410" t="str"/>
    </x:row>
    <x:row r="79" ht="78" customHeight="1">
      <x:c r="A79" s="410" t="n">
        <x:v>24</x:v>
      </x:c>
      <x:c r="B79" s="411" t="n">
        <x:f>'02 Lộ trình 39 tuần'!G28</x:f>
        <x:v>46391</x:v>
      </x:c>
      <x:c r="C79" s="410" t="str">
        <x:v>Security và audit trail</x:v>
      </x:c>
      <x:c r="D79" s="410" t="n">
        <x:v>3</x:v>
      </x:c>
      <x:c r="E79" s="410" t="str">
        <x:v>Audit events</x:v>
      </x:c>
      <x:c r="F79" s="410" t="str">
        <x:v>https://docs.spring.io/spring-boot/reference/actuator/auditing.html</x:v>
      </x:c>
      <x:c r="G79" s="410" t="str">
        <x:v>Đọc Auditing, Custom Auditing và HTTP Exchange Recording.</x:v>
      </x:c>
      <x:c r="H79" s="412" t="n">
        <x:v>1.25</x:v>
      </x:c>
      <x:c r="I79" s="410" t="str">
        <x:v>Ghi actor/action/resource/result/traceId; mask token và PII trong log.</x:v>
      </x:c>
      <x:c r="J79" s="410" t="str">
        <x:v>AuditEvent implementation + tests</x:v>
      </x:c>
      <x:c r="K79" s="410" t="str">
        <x:v>Đọc lại ví dụ ngay trên trang; ghi câu hỏi cụ thể vào cột Ghi chú; sau 30 phút vẫn bí thì tạo ví dụ nhỏ nhất có thể chạy được.</x:v>
      </x:c>
      <x:c r="L79" s="410" t="str">
        <x:v>Chưa học</x:v>
      </x:c>
      <x:c r="M79" s="410" t="str"/>
    </x:row>
    <x:row r="80" ht="78" customHeight="1">
      <x:c r="A80" s="25" t="n">
        <x:v>25</x:v>
      </x:c>
      <x:c r="B80" s="196" t="n">
        <x:f>'02 Lộ trình 39 tuần'!G29</x:f>
        <x:v>46398</x:v>
      </x:c>
      <x:c r="C80" s="25" t="str">
        <x:v>Load test và tuning</x:v>
      </x:c>
      <x:c r="D80" s="25" t="n">
        <x:v>1</x:v>
      </x:c>
      <x:c r="E80" s="25" t="str">
        <x:v>Viết k6 scenario</x:v>
      </x:c>
      <x:c r="F80" s="25" t="str">
        <x:v>https://grafana.com/docs/k6/latest/get-started/running-k6/</x:v>
      </x:c>
      <x:c r="G80" s="25" t="str">
        <x:v>Làm Run local test và Adding more VUs; đọc output metrics.</x:v>
      </x:c>
      <x:c r="H80" s="299" t="n">
        <x:v>1.25</x:v>
      </x:c>
      <x:c r="I80" s="25" t="str">
        <x:v>Viết 80% get balance + 20% transfer; tạo test data không đụng cùng account ngoài kịch bản.</x:v>
      </x:c>
      <x:c r="J80" s="25" t="str">
        <x:v>load-test.js</x:v>
      </x:c>
      <x:c r="K80" s="25" t="str">
        <x:v>Đọc lại ví dụ ngay trên trang; ghi câu hỏi cụ thể vào cột Ghi chú; sau 30 phút vẫn bí thì tạo ví dụ nhỏ nhất có thể chạy được.</x:v>
      </x:c>
      <x:c r="L80" s="25" t="str">
        <x:v>Chưa học</x:v>
      </x:c>
      <x:c r="M80" s="25" t="str"/>
    </x:row>
    <x:row r="81" ht="78" customHeight="1">
      <x:c r="A81" s="25" t="n">
        <x:v>25</x:v>
      </x:c>
      <x:c r="B81" s="196" t="n">
        <x:f>'02 Lộ trình 39 tuần'!G29</x:f>
        <x:v>46398</x:v>
      </x:c>
      <x:c r="C81" s="25" t="str">
        <x:v>Load test và tuning</x:v>
      </x:c>
      <x:c r="D81" s="25" t="n">
        <x:v>2</x:v>
      </x:c>
      <x:c r="E81" s="25" t="str">
        <x:v>Threshold p95 và error rate</x:v>
      </x:c>
      <x:c r="F81" s="25" t="str">
        <x:v>https://grafana.com/docs/k6/latest/using-k6/thresholds/</x:v>
      </x:c>
      <x:c r="G81" s="25" t="str">
        <x:v>Đọc Threshold syntax và Failing a load test using thresholds.</x:v>
      </x:c>
      <x:c r="H81" s="299" t="n">
        <x:v>1.25</x:v>
      </x:c>
      <x:c r="I81" s="25" t="str">
        <x:v>Đặt http_req_failed&lt;1% và p(95)&lt;500ms; pipeline fail nếu không đạt.</x:v>
      </x:c>
      <x:c r="J81" s="25" t="str">
        <x:v>k6 thresholds + run log</x:v>
      </x:c>
      <x:c r="K81" s="25" t="str">
        <x:v>Đọc lại ví dụ ngay trên trang; ghi câu hỏi cụ thể vào cột Ghi chú; sau 30 phút vẫn bí thì tạo ví dụ nhỏ nhất có thể chạy được.</x:v>
      </x:c>
      <x:c r="L81" s="25" t="str">
        <x:v>Chưa học</x:v>
      </x:c>
      <x:c r="M81" s="25" t="str"/>
    </x:row>
    <x:row r="82" ht="78" customHeight="1">
      <x:c r="A82" s="25" t="n">
        <x:v>25</x:v>
      </x:c>
      <x:c r="B82" s="196" t="n">
        <x:f>'02 Lộ trình 39 tuần'!G29</x:f>
        <x:v>46398</x:v>
      </x:c>
      <x:c r="C82" s="25" t="str">
        <x:v>Load test và tuning</x:v>
      </x:c>
      <x:c r="D82" s="25" t="n">
        <x:v>3</x:v>
      </x:c>
      <x:c r="E82" s="25" t="str">
        <x:v>Một vòng đo–sửa–đo</x:v>
      </x:c>
      <x:c r="F82" s="25" t="str">
        <x:v>https://docs.spring.io/spring-boot/reference/actuator/metrics.html</x:v>
      </x:c>
      <x:c r="G82" s="25" t="str">
        <x:v>Đọc Supported Metrics và HTTP Request metrics; kết hợp dashboard Grafana.</x:v>
      </x:c>
      <x:c r="H82" s="299" t="n">
        <x:v>1.5</x:v>
      </x:c>
      <x:c r="I82" s="25" t="str">
        <x:v>Xác định một bottleneck từ metric; sửa; chạy lại cùng scenario 3 lần.</x:v>
      </x:c>
      <x:c r="J82" s="25" t="str">
        <x:v>load-report.md có before/after</x:v>
      </x:c>
      <x:c r="K82" s="25" t="str">
        <x:v>Đọc lại ví dụ ngay trên trang; ghi câu hỏi cụ thể vào cột Ghi chú; sau 30 phút vẫn bí thì tạo ví dụ nhỏ nhất có thể chạy được.</x:v>
      </x:c>
      <x:c r="L82" s="25" t="str">
        <x:v>Chưa học</x:v>
      </x:c>
      <x:c r="M82" s="25" t="str"/>
    </x:row>
    <x:row r="83" ht="78" customHeight="1">
      <x:c r="A83" s="410" t="n">
        <x:v>26</x:v>
      </x:c>
      <x:c r="B83" s="411" t="n">
        <x:f>'02 Lộ trình 39 tuần'!G30</x:f>
        <x:v>46405</x:v>
      </x:c>
      <x:c r="C83" s="410" t="str">
        <x:v>Deploy và demo dự án ngân hàng</x:v>
      </x:c>
      <x:c r="D83" s="410" t="n">
        <x:v>1</x:v>
      </x:c>
      <x:c r="E83" s="410" t="str">
        <x:v>Checklist reliability trước deploy</x:v>
      </x:c>
      <x:c r="F83" s="410" t="str">
        <x:v>https://docs.aws.amazon.com/wellarchitected/latest/framework/welcome.html</x:v>
      </x:c>
      <x:c r="G83" s="410" t="str">
        <x:v>Đọc Reliability pillar: Change Management, Failure Management và Back up data.</x:v>
      </x:c>
      <x:c r="H83" s="412" t="n">
        <x:v>1.25</x:v>
      </x:c>
      <x:c r="I83" s="410" t="str">
        <x:v>Viết healthcheck, backup, restore, rollback và budget limit.</x:v>
      </x:c>
      <x:c r="J83" s="410" t="str">
        <x:v>deployment-checklist.md</x:v>
      </x:c>
      <x:c r="K83" s="410" t="str">
        <x:v>Đọc lại ví dụ ngay trên trang; ghi câu hỏi cụ thể vào cột Ghi chú; sau 30 phút vẫn bí thì tạo ví dụ nhỏ nhất có thể chạy được.</x:v>
      </x:c>
      <x:c r="L83" s="410" t="str">
        <x:v>Chưa học</x:v>
      </x:c>
      <x:c r="M83" s="410" t="str"/>
    </x:row>
    <x:row r="84" ht="78" customHeight="1">
      <x:c r="A84" s="410" t="n">
        <x:v>26</x:v>
      </x:c>
      <x:c r="B84" s="411" t="n">
        <x:f>'02 Lộ trình 39 tuần'!G30</x:f>
        <x:v>46405</x:v>
      </x:c>
      <x:c r="C84" s="410" t="str">
        <x:v>Deploy và demo dự án ngân hàng</x:v>
      </x:c>
      <x:c r="D84" s="410" t="n">
        <x:v>2</x:v>
      </x:c>
      <x:c r="E84" s="410" t="str">
        <x:v>README đủ để tuyển dụng đọc</x:v>
      </x:c>
      <x:c r="F84" s="410" t="str">
        <x:v>https://docs.github.com/en/repositories/managing-your-repositorys-settings-and-features/customizing-your-repository/about-readmes</x:v>
      </x:c>
      <x:c r="G84" s="410" t="str">
        <x:v>Đọc What is a README? và What should your README include?</x:v>
      </x:c>
      <x:c r="H84" s="412" t="n">
        <x:v>1.25</x:v>
      </x:c>
      <x:c r="I84" s="410" t="str">
        <x:v>README tiếng Anh: problem, architecture, run, demo, decisions, trade-offs, limitations.</x:v>
      </x:c>
      <x:c r="J84" s="410" t="str">
        <x:v>README.md hoàn chỉnh</x:v>
      </x:c>
      <x:c r="K84" s="410" t="str">
        <x:v>Đọc lại ví dụ ngay trên trang; ghi câu hỏi cụ thể vào cột Ghi chú; sau 30 phút vẫn bí thì tạo ví dụ nhỏ nhất có thể chạy được.</x:v>
      </x:c>
      <x:c r="L84" s="410" t="str">
        <x:v>Chưa học</x:v>
      </x:c>
      <x:c r="M84" s="410" t="str"/>
    </x:row>
    <x:row r="85" ht="78" customHeight="1">
      <x:c r="A85" s="410" t="n">
        <x:v>26</x:v>
      </x:c>
      <x:c r="B85" s="411" t="n">
        <x:f>'02 Lộ trình 39 tuần'!G30</x:f>
        <x:v>46405</x:v>
      </x:c>
      <x:c r="C85" s="410" t="str">
        <x:v>Deploy và demo dự án ngân hàng</x:v>
      </x:c>
      <x:c r="D85" s="410" t="n">
        <x:v>3</x:v>
      </x:c>
      <x:c r="E85" s="410" t="str">
        <x:v>Demo 15 phút</x:v>
      </x:c>
      <x:c r="F85" s="410" t="str">
        <x:v>https://c4model.com/</x:v>
      </x:c>
      <x:c r="G85" s="410" t="str">
        <x:v>Dùng C4 làm phần giải thích kiến trúc; không học thêm mục mới.</x:v>
      </x:c>
      <x:c r="H85" s="412" t="n">
        <x:v>1.5</x:v>
      </x:c>
      <x:c r="I85" s="410" t="str">
        <x:v>Ghi video: 2 phút vấn đề, 3 phút kiến trúc, 7 phút demo, 3 phút trade-off.</x:v>
      </x:c>
      <x:c r="J85" s="410" t="str">
        <x:v>demo-video URL + release v1.0</x:v>
      </x:c>
      <x:c r="K85" s="410" t="str">
        <x:v>Đọc lại ví dụ ngay trên trang; ghi câu hỏi cụ thể vào cột Ghi chú; sau 30 phút vẫn bí thì tạo ví dụ nhỏ nhất có thể chạy được.</x:v>
      </x:c>
      <x:c r="L85" s="410" t="str">
        <x:v>Chưa học</x:v>
      </x:c>
      <x:c r="M85" s="410" t="str"/>
    </x:row>
    <x:row r="86" ht="78" customHeight="1">
      <x:c r="A86" s="25" t="n">
        <x:v>27</x:v>
      </x:c>
      <x:c r="B86" s="196" t="n">
        <x:f>'02 Lộ trình 39 tuần'!G31</x:f>
        <x:v>46412</x:v>
      </x:c>
      <x:c r="C86" s="25" t="str">
        <x:v>Nghiệp vụ portfolio và market data</x:v>
      </x:c>
      <x:c r="D86" s="25" t="n">
        <x:v>1</x:v>
      </x:c>
      <x:c r="E86" s="25" t="str">
        <x:v>Instrument, quote, trade, position</x:v>
      </x:c>
      <x:c r="F86" s="25" t="str">
        <x:v>https://docs.tigerbeetle.com/coding/data-modeling/</x:v>
      </x:c>
      <x:c r="G86" s="25" t="str">
        <x:v>Đọc Data Modeling; tập trung IDs, account/transfer mapping và immutable facts.</x:v>
      </x:c>
      <x:c r="H86" s="299" t="n">
        <x:v>1.5</x:v>
      </x:c>
      <x:c r="I86" s="25" t="str">
        <x:v>Tạo glossary cho instrument/quote/trade/position/portfolio; mỗi từ có ví dụ.</x:v>
      </x:c>
      <x:c r="J86" s="25" t="str">
        <x:v>market-domain-glossary.md</x:v>
      </x:c>
      <x:c r="K86" s="25" t="str">
        <x:v>Đọc lại ví dụ ngay trên trang; ghi câu hỏi cụ thể vào cột Ghi chú; sau 30 phút vẫn bí thì tạo ví dụ nhỏ nhất có thể chạy được.</x:v>
      </x:c>
      <x:c r="L86" s="25" t="str">
        <x:v>Chưa học</x:v>
      </x:c>
      <x:c r="M86" s="25" t="str"/>
    </x:row>
    <x:row r="87" ht="78" customHeight="1">
      <x:c r="A87" s="25" t="n">
        <x:v>27</x:v>
      </x:c>
      <x:c r="B87" s="196" t="n">
        <x:f>'02 Lộ trình 39 tuần'!G31</x:f>
        <x:v>46412</x:v>
      </x:c>
      <x:c r="C87" s="25" t="str">
        <x:v>Nghiệp vụ portfolio và market data</x:v>
      </x:c>
      <x:c r="D87" s="25" t="n">
        <x:v>2</x:v>
      </x:c>
      <x:c r="E87" s="25" t="str">
        <x:v>Độ chính xác tiền và giá</x:v>
      </x:c>
      <x:c r="F87" s="25" t="str">
        <x:v>https://www.postgresql.org/docs/current/datatype-numeric.html</x:v>
      </x:c>
      <x:c r="G87" s="25" t="str">
        <x:v>Đọc Numeric Types và đặc biệt numeric/decimal; bỏ qua integer details.</x:v>
      </x:c>
      <x:c r="H87" s="299" t="n">
        <x:v>1.25</x:v>
      </x:c>
      <x:c r="I87" s="25" t="str">
        <x:v>Chọn precision/scale cho quantity, price, FX rate, P&amp;L; tạo 5 case làm tròn.</x:v>
      </x:c>
      <x:c r="J87" s="25" t="str">
        <x:v>precision-decision.md + tests</x:v>
      </x:c>
      <x:c r="K87" s="25" t="str">
        <x:v>Đọc lại ví dụ ngay trên trang; ghi câu hỏi cụ thể vào cột Ghi chú; sau 30 phút vẫn bí thì tạo ví dụ nhỏ nhất có thể chạy được.</x:v>
      </x:c>
      <x:c r="L87" s="25" t="str">
        <x:v>Chưa học</x:v>
      </x:c>
      <x:c r="M87" s="25" t="str"/>
    </x:row>
    <x:row r="88" ht="78" customHeight="1">
      <x:c r="A88" s="25" t="n">
        <x:v>27</x:v>
      </x:c>
      <x:c r="B88" s="196" t="n">
        <x:f>'02 Lộ trình 39 tuần'!G31</x:f>
        <x:v>46412</x:v>
      </x:c>
      <x:c r="C88" s="25" t="str">
        <x:v>Nghiệp vụ portfolio và market data</x:v>
      </x:c>
      <x:c r="D88" s="25" t="n">
        <x:v>3</x:v>
      </x:c>
      <x:c r="E88" s="25" t="str">
        <x:v>Công thức P&amp;L phạm vi MVP</x:v>
      </x:c>
      <x:c r="F88" s="25" t="str">
        <x:v>https://www.moderntreasury.com/journal/how-to-verify-prior-ledger-states</x:v>
      </x:c>
      <x:c r="G88" s="25" t="str">
        <x:v>Đọc cách kiểm chứng trạng thái trước; áp dụng tư duy reconciliation, không sao chép mô hình ledger.</x:v>
      </x:c>
      <x:c r="H88" s="299" t="n">
        <x:v>1.25</x:v>
      </x:c>
      <x:c r="I88" s="25" t="str">
        <x:v>Tính tay market value, average cost, realized/unrealized P&amp;L cho 5 scenarios.</x:v>
      </x:c>
      <x:c r="J88" s="25" t="str">
        <x:v>pnl-scenarios.csv</x:v>
      </x:c>
      <x:c r="K88" s="25" t="str">
        <x:v>Đọc lại ví dụ ngay trên trang; ghi câu hỏi cụ thể vào cột Ghi chú; sau 30 phút vẫn bí thì tạo ví dụ nhỏ nhất có thể chạy được.</x:v>
      </x:c>
      <x:c r="L88" s="25" t="str">
        <x:v>Chưa học</x:v>
      </x:c>
      <x:c r="M88" s="25" t="str"/>
    </x:row>
    <x:row r="89" ht="78" customHeight="1">
      <x:c r="A89" s="410" t="n">
        <x:v>28</x:v>
      </x:c>
      <x:c r="B89" s="411" t="n">
        <x:f>'02 Lộ trình 39 tuần'!G32</x:f>
        <x:v>46419</x:v>
      </x:c>
      <x:c r="C89" s="410" t="str">
        <x:v>Market data ingestion architecture</x:v>
      </x:c>
      <x:c r="D89" s="410" t="n">
        <x:v>1</x:v>
      </x:c>
      <x:c r="E89" s="410" t="str">
        <x:v>Canonical market event</x:v>
      </x:c>
      <x:c r="F89" s="410" t="str">
        <x:v>https://kafka.apache.org/documentation/</x:v>
      </x:c>
      <x:c r="G89" s="410" t="str">
        <x:v>Đọc Introduction và Serialization; tập trung key, timestamp, headers.</x:v>
      </x:c>
      <x:c r="H89" s="412" t="n">
        <x:v>1.25</x:v>
      </x:c>
      <x:c r="I89" s="410" t="str">
        <x:v>Thiết kế QuoteUpdated v1: instrumentId, bid, ask, last, eventTime, source.</x:v>
      </x:c>
      <x:c r="J89" s="410" t="str">
        <x:v>quote-event-schema.json</x:v>
      </x:c>
      <x:c r="K89" s="410" t="str">
        <x:v>Đọc lại ví dụ ngay trên trang; ghi câu hỏi cụ thể vào cột Ghi chú; sau 30 phút vẫn bí thì tạo ví dụ nhỏ nhất có thể chạy được.</x:v>
      </x:c>
      <x:c r="L89" s="410" t="str">
        <x:v>Chưa học</x:v>
      </x:c>
      <x:c r="M89" s="410" t="str"/>
    </x:row>
    <x:row r="90" ht="78" customHeight="1">
      <x:c r="A90" s="410" t="n">
        <x:v>28</x:v>
      </x:c>
      <x:c r="B90" s="411" t="n">
        <x:f>'02 Lộ trình 39 tuần'!G32</x:f>
        <x:v>46419</x:v>
      </x:c>
      <x:c r="C90" s="410" t="str">
        <x:v>Market data ingestion architecture</x:v>
      </x:c>
      <x:c r="D90" s="410" t="n">
        <x:v>2</x:v>
      </x:c>
      <x:c r="E90" s="410" t="str">
        <x:v>Partition và backpressure</x:v>
      </x:c>
      <x:c r="F90" s="410" t="str">
        <x:v>https://kafka.apache.org/documentation/</x:v>
      </x:c>
      <x:c r="G90" s="410" t="str">
        <x:v>Đọc Consumer Design; sau đó Producer Configs: linger.ms, batch.size, compression.type.</x:v>
      </x:c>
      <x:c r="H90" s="412" t="n">
        <x:v>1.5</x:v>
      </x:c>
      <x:c r="I90" s="410" t="str">
        <x:v>Chọn instrumentId làm key; đo producer batch nhỏ/lớn; ghi trade-off freshness/throughput.</x:v>
      </x:c>
      <x:c r="J90" s="410" t="str">
        <x:v>ingestion-ADR.md</x:v>
      </x:c>
      <x:c r="K90" s="410" t="str">
        <x:v>Đọc lại ví dụ ngay trên trang; ghi câu hỏi cụ thể vào cột Ghi chú; sau 30 phút vẫn bí thì tạo ví dụ nhỏ nhất có thể chạy được.</x:v>
      </x:c>
      <x:c r="L90" s="410" t="str">
        <x:v>Chưa học</x:v>
      </x:c>
      <x:c r="M90" s="410" t="str"/>
    </x:row>
    <x:row r="91" ht="78" customHeight="1">
      <x:c r="A91" s="410" t="n">
        <x:v>28</x:v>
      </x:c>
      <x:c r="B91" s="411" t="n">
        <x:f>'02 Lộ trình 39 tuần'!G32</x:f>
        <x:v>46419</x:v>
      </x:c>
      <x:c r="C91" s="410" t="str">
        <x:v>Market data ingestion architecture</x:v>
      </x:c>
      <x:c r="D91" s="410" t="n">
        <x:v>3</x:v>
      </x:c>
      <x:c r="E91" s="410" t="str">
        <x:v>Simulator có dữ liệu lỗi</x:v>
      </x:c>
      <x:c r="F91" s="410" t="str">
        <x:v>https://docs.spring.io/spring-kafka/reference/</x:v>
      </x:c>
      <x:c r="G91" s="410" t="str">
        <x:v>Đọc Sending Messages và Receiving Messages; bỏ qua advanced topics.</x:v>
      </x:c>
      <x:c r="H91" s="412" t="n">
        <x:v>1.25</x:v>
      </x:c>
      <x:c r="I91" s="410" t="str">
        <x:v>Tạo simulator phát giá bình thường, duplicate, out-of-order và stale.</x:v>
      </x:c>
      <x:c r="J91" s="410" t="str">
        <x:v>market-simulator + tests</x:v>
      </x:c>
      <x:c r="K91" s="410" t="str">
        <x:v>Đọc lại ví dụ ngay trên trang; ghi câu hỏi cụ thể vào cột Ghi chú; sau 30 phút vẫn bí thì tạo ví dụ nhỏ nhất có thể chạy được.</x:v>
      </x:c>
      <x:c r="L91" s="410" t="str">
        <x:v>Chưa học</x:v>
      </x:c>
      <x:c r="M91" s="410" t="str"/>
    </x:row>
    <x:row r="92" ht="78" customHeight="1">
      <x:c r="A92" s="25" t="n">
        <x:v>29</x:v>
      </x:c>
      <x:c r="B92" s="196" t="n">
        <x:f>'02 Lộ trình 39 tuần'!G33</x:f>
        <x:v>46426</x:v>
      </x:c>
      <x:c r="C92" s="25" t="str">
        <x:v>Kafka ingestion pipeline</x:v>
      </x:c>
      <x:c r="D92" s="25" t="n">
        <x:v>1</x:v>
      </x:c>
      <x:c r="E92" s="25" t="str">
        <x:v>Producer idempotence và acks</x:v>
      </x:c>
      <x:c r="F92" s="25" t="str">
        <x:v>https://kafka.apache.org/documentation/</x:v>
      </x:c>
      <x:c r="G92" s="25" t="str">
        <x:v>Producer Configs: acks, enable.idempotence, max.in.flight.requests.per.connection.</x:v>
      </x:c>
      <x:c r="H92" s="299" t="n">
        <x:v>1.25</x:v>
      </x:c>
      <x:c r="I92" s="25" t="str">
        <x:v>Cấu hình producer phù hợp; ghi điều kiện để giữ ordering khi retry.</x:v>
      </x:c>
      <x:c r="J92" s="25" t="str">
        <x:v>producer.properties + ADR</x:v>
      </x:c>
      <x:c r="K92" s="25" t="str">
        <x:v>Đọc lại ví dụ ngay trên trang; ghi câu hỏi cụ thể vào cột Ghi chú; sau 30 phút vẫn bí thì tạo ví dụ nhỏ nhất có thể chạy được.</x:v>
      </x:c>
      <x:c r="L92" s="25" t="str">
        <x:v>Chưa học</x:v>
      </x:c>
      <x:c r="M92" s="25" t="str"/>
    </x:row>
    <x:row r="93" ht="78" customHeight="1">
      <x:c r="A93" s="25" t="n">
        <x:v>29</x:v>
      </x:c>
      <x:c r="B93" s="196" t="n">
        <x:f>'02 Lộ trình 39 tuần'!G33</x:f>
        <x:v>46426</x:v>
      </x:c>
      <x:c r="C93" s="25" t="str">
        <x:v>Kafka ingestion pipeline</x:v>
      </x:c>
      <x:c r="D93" s="25" t="n">
        <x:v>2</x:v>
      </x:c>
      <x:c r="E93" s="25" t="str">
        <x:v>Consumer offset và rebalance</x:v>
      </x:c>
      <x:c r="F93" s="25" t="str">
        <x:v>https://kafka.apache.org/documentation/</x:v>
      </x:c>
      <x:c r="G93" s="25" t="str">
        <x:v>Consumer Configs: enable.auto.commit, max.poll.interval.ms, max.poll.records; đọc Consumer Rebalance Protocol.</x:v>
      </x:c>
      <x:c r="H93" s="299" t="n">
        <x:v>1.5</x:v>
      </x:c>
      <x:c r="I93" s="25" t="str">
        <x:v>Tắt auto commit; commit sau persist; mô phỏng handler chậm và rebalance.</x:v>
      </x:c>
      <x:c r="J93" s="25" t="str">
        <x:v>consumer-rebalance-report.md</x:v>
      </x:c>
      <x:c r="K93" s="25" t="str">
        <x:v>Đọc lại ví dụ ngay trên trang; ghi câu hỏi cụ thể vào cột Ghi chú; sau 30 phút vẫn bí thì tạo ví dụ nhỏ nhất có thể chạy được.</x:v>
      </x:c>
      <x:c r="L93" s="25" t="str">
        <x:v>Chưa học</x:v>
      </x:c>
      <x:c r="M93" s="25" t="str"/>
    </x:row>
    <x:row r="94" ht="78" customHeight="1">
      <x:c r="A94" s="25" t="n">
        <x:v>29</x:v>
      </x:c>
      <x:c r="B94" s="196" t="n">
        <x:f>'02 Lộ trình 39 tuần'!G33</x:f>
        <x:v>46426</x:v>
      </x:c>
      <x:c r="C94" s="25" t="str">
        <x:v>Kafka ingestion pipeline</x:v>
      </x:c>
      <x:c r="D94" s="25" t="n">
        <x:v>3</x:v>
      </x:c>
      <x:c r="E94" s="25" t="str">
        <x:v>Lag và throughput test</x:v>
      </x:c>
      <x:c r="F94" s="25" t="str">
        <x:v>https://grafana.com/docs/k6/latest/get-started/running-k6/</x:v>
      </x:c>
      <x:c r="G94" s="25" t="str">
        <x:v>Dùng k6 cho HTTP hoặc viết producer load; đọc output metrics cơ bản.</x:v>
      </x:c>
      <x:c r="H94" s="299" t="n">
        <x:v>1.25</x:v>
      </x:c>
      <x:c r="I94" s="25" t="str">
        <x:v>Phát ≥10k quote; ghi throughput, lag lớn nhất và thời gian bắt kịp.</x:v>
      </x:c>
      <x:c r="J94" s="25" t="str">
        <x:v>ingestion-load-report.md</x:v>
      </x:c>
      <x:c r="K94" s="25" t="str">
        <x:v>Đọc lại ví dụ ngay trên trang; ghi câu hỏi cụ thể vào cột Ghi chú; sau 30 phút vẫn bí thì tạo ví dụ nhỏ nhất có thể chạy được.</x:v>
      </x:c>
      <x:c r="L94" s="25" t="str">
        <x:v>Chưa học</x:v>
      </x:c>
      <x:c r="M94" s="25" t="str"/>
    </x:row>
    <x:row r="95" ht="78" customHeight="1">
      <x:c r="A95" s="410" t="n">
        <x:v>30</x:v>
      </x:c>
      <x:c r="B95" s="411" t="n">
        <x:f>'02 Lộ trình 39 tuần'!G34</x:f>
        <x:v>46433</x:v>
      </x:c>
      <x:c r="C95" s="410" t="str">
        <x:v>Redis snapshot và WebSocket</x:v>
      </x:c>
      <x:c r="D95" s="410" t="n">
        <x:v>1</x:v>
      </x:c>
      <x:c r="E95" s="410" t="str">
        <x:v>Latest quote snapshot</x:v>
      </x:c>
      <x:c r="F95" s="410" t="str">
        <x:v>https://redis.io/docs/latest/develop/data-types/hashes/</x:v>
      </x:c>
      <x:c r="G95" s="410" t="str">
        <x:v>Đọc Basic commands và Field expiration.</x:v>
      </x:c>
      <x:c r="H95" s="412" t="n">
        <x:v>1.25</x:v>
      </x:c>
      <x:c r="I95" s="410" t="str">
        <x:v>Lưu latest quote theo instrument; chỉ cập nhật nếu eventTime mới hơn.</x:v>
      </x:c>
      <x:c r="J95" s="410" t="str">
        <x:v>QuoteCache + out-of-order tests</x:v>
      </x:c>
      <x:c r="K95" s="410" t="str">
        <x:v>Đọc lại ví dụ ngay trên trang; ghi câu hỏi cụ thể vào cột Ghi chú; sau 30 phút vẫn bí thì tạo ví dụ nhỏ nhất có thể chạy được.</x:v>
      </x:c>
      <x:c r="L95" s="410" t="str">
        <x:v>Chưa học</x:v>
      </x:c>
      <x:c r="M95" s="410" t="str"/>
    </x:row>
    <x:row r="96" ht="78" customHeight="1">
      <x:c r="A96" s="410" t="n">
        <x:v>30</x:v>
      </x:c>
      <x:c r="B96" s="411" t="n">
        <x:f>'02 Lộ trình 39 tuần'!G34</x:f>
        <x:v>46433</x:v>
      </x:c>
      <x:c r="C96" s="410" t="str">
        <x:v>Redis snapshot và WebSocket</x:v>
      </x:c>
      <x:c r="D96" s="410" t="n">
        <x:v>2</x:v>
      </x:c>
      <x:c r="E96" s="410" t="str">
        <x:v>WebSocket fundamentals</x:v>
      </x:c>
      <x:c r="F96" s="410" t="str">
        <x:v>https://docs.spring.io/spring-framework/reference/web/websocket.html</x:v>
      </x:c>
      <x:c r="G96" s="410" t="str">
        <x:v>Đọc Overview, HTTP versus WebSocket và When to use WebSockets.</x:v>
      </x:c>
      <x:c r="H96" s="412" t="n">
        <x:v>1.25</x:v>
      </x:c>
      <x:c r="I96" s="410" t="str">
        <x:v>Viết ADR chọn WebSocket thay polling; nêu connection/liveness/backpressure.</x:v>
      </x:c>
      <x:c r="J96" s="410" t="str">
        <x:v>websocket-ADR.md</x:v>
      </x:c>
      <x:c r="K96" s="410" t="str">
        <x:v>Đọc lại ví dụ ngay trên trang; ghi câu hỏi cụ thể vào cột Ghi chú; sau 30 phút vẫn bí thì tạo ví dụ nhỏ nhất có thể chạy được.</x:v>
      </x:c>
      <x:c r="L96" s="410" t="str">
        <x:v>Chưa học</x:v>
      </x:c>
      <x:c r="M96" s="410" t="str"/>
    </x:row>
    <x:row r="97" ht="78" customHeight="1">
      <x:c r="A97" s="410" t="n">
        <x:v>30</x:v>
      </x:c>
      <x:c r="B97" s="411" t="n">
        <x:f>'02 Lộ trình 39 tuần'!G34</x:f>
        <x:v>46433</x:v>
      </x:c>
      <x:c r="C97" s="410" t="str">
        <x:v>Redis snapshot và WebSocket</x:v>
      </x:c>
      <x:c r="D97" s="410" t="n">
        <x:v>3</x:v>
      </x:c>
      <x:c r="E97" s="410" t="str">
        <x:v>STOMP subscriptions</x:v>
      </x:c>
      <x:c r="F97" s="410" t="str">
        <x:v>https://docs.spring.io/spring-framework/reference/web/websocket/stomp.html</x:v>
      </x:c>
      <x:c r="G97" s="410" t="str">
        <x:v>Đọc Overview, Benefits, Enable STOMP và Flow of Messages.</x:v>
      </x:c>
      <x:c r="H97" s="412" t="n">
        <x:v>1.5</x:v>
      </x:c>
      <x:c r="I97" s="410" t="str">
        <x:v>Client subscribe /topic/quotes/{instrument}; server push snapshot và updates.</x:v>
      </x:c>
      <x:c r="J97" s="410" t="str">
        <x:v>STOMP endpoint + demo</x:v>
      </x:c>
      <x:c r="K97" s="410" t="str">
        <x:v>Đọc lại ví dụ ngay trên trang; ghi câu hỏi cụ thể vào cột Ghi chú; sau 30 phút vẫn bí thì tạo ví dụ nhỏ nhất có thể chạy được.</x:v>
      </x:c>
      <x:c r="L97" s="410" t="str">
        <x:v>Chưa học</x:v>
      </x:c>
      <x:c r="M97" s="410" t="str"/>
    </x:row>
    <x:row r="98" ht="78" customHeight="1">
      <x:c r="A98" s="25" t="n">
        <x:v>31</x:v>
      </x:c>
      <x:c r="B98" s="196" t="n">
        <x:f>'02 Lộ trình 39 tuần'!G35</x:f>
        <x:v>46440</x:v>
      </x:c>
      <x:c r="C98" s="25" t="str">
        <x:v>Position và P&amp;L engine</x:v>
      </x:c>
      <x:c r="D98" s="25" t="n">
        <x:v>1</x:v>
      </x:c>
      <x:c r="E98" s="25" t="str">
        <x:v>Numeric/rounding policy</x:v>
      </x:c>
      <x:c r="F98" s="25" t="str">
        <x:v>https://www.postgresql.org/docs/current/datatype-numeric.html</x:v>
      </x:c>
      <x:c r="G98" s="25" t="str">
        <x:v>Đọc Exact vs Inexact types và Rounding behavior.</x:v>
      </x:c>
      <x:c r="H98" s="299" t="n">
        <x:v>1.25</x:v>
      </x:c>
      <x:c r="I98" s="25" t="str">
        <x:v>Cấm double trong engine; tạo Money/Price/Quantity value objects.</x:v>
      </x:c>
      <x:c r="J98" s="25" t="str">
        <x:v>value objects + rounding tests</x:v>
      </x:c>
      <x:c r="K98" s="25" t="str">
        <x:v>Đọc lại ví dụ ngay trên trang; ghi câu hỏi cụ thể vào cột Ghi chú; sau 30 phút vẫn bí thì tạo ví dụ nhỏ nhất có thể chạy được.</x:v>
      </x:c>
      <x:c r="L98" s="25" t="str">
        <x:v>Chưa học</x:v>
      </x:c>
      <x:c r="M98" s="25" t="str"/>
    </x:row>
    <x:row r="99" ht="78" customHeight="1">
      <x:c r="A99" s="25" t="n">
        <x:v>31</x:v>
      </x:c>
      <x:c r="B99" s="196" t="n">
        <x:f>'02 Lộ trình 39 tuần'!G35</x:f>
        <x:v>46440</x:v>
      </x:c>
      <x:c r="C99" s="25" t="str">
        <x:v>Position và P&amp;L engine</x:v>
      </x:c>
      <x:c r="D99" s="25" t="n">
        <x:v>2</x:v>
      </x:c>
      <x:c r="E99" s="25" t="str">
        <x:v>Window function để đối chiếu</x:v>
      </x:c>
      <x:c r="F99" s="25" t="str">
        <x:v>https://www.postgresql.org/docs/current/tutorial-window.html</x:v>
      </x:c>
      <x:c r="G99" s="25" t="str">
        <x:v>Đọc ROW_NUMBER, sum OVER, PARTITION BY và ORDER BY.</x:v>
      </x:c>
      <x:c r="H99" s="299" t="n">
        <x:v>1.5</x:v>
      </x:c>
      <x:c r="I99" s="25" t="str">
        <x:v>Viết SQL tính running quantity/value theo portfolio/instrument.</x:v>
      </x:c>
      <x:c r="J99" s="25" t="str">
        <x:v>reconciliation.sql</x:v>
      </x:c>
      <x:c r="K99" s="25" t="str">
        <x:v>Đọc lại ví dụ ngay trên trang; ghi câu hỏi cụ thể vào cột Ghi chú; sau 30 phút vẫn bí thì tạo ví dụ nhỏ nhất có thể chạy được.</x:v>
      </x:c>
      <x:c r="L99" s="25" t="str">
        <x:v>Chưa học</x:v>
      </x:c>
      <x:c r="M99" s="25" t="str"/>
    </x:row>
    <x:row r="100" ht="78" customHeight="1">
      <x:c r="A100" s="25" t="n">
        <x:v>31</x:v>
      </x:c>
      <x:c r="B100" s="196" t="n">
        <x:f>'02 Lộ trình 39 tuần'!G35</x:f>
        <x:v>46440</x:v>
      </x:c>
      <x:c r="C100" s="25" t="str">
        <x:v>Position và P&amp;L engine</x:v>
      </x:c>
      <x:c r="D100" s="25" t="n">
        <x:v>3</x:v>
      </x:c>
      <x:c r="E100" s="25" t="str">
        <x:v>Reconciliation Java vs SQL</x:v>
      </x:c>
      <x:c r="F100" s="25" t="str">
        <x:v>https://www.moderntreasury.com/journal/how-to-verify-prior-ledger-states</x:v>
      </x:c>
      <x:c r="G100" s="25" t="str">
        <x:v>Đọc phần verification approach; áp dụng kiểm tra snapshot theo thời điểm.</x:v>
      </x:c>
      <x:c r="H100" s="299" t="n">
        <x:v>1.25</x:v>
      </x:c>
      <x:c r="I100" s="25" t="str">
        <x:v>So sánh kết quả Java engine với SQL cho ≥20 trades; báo sai lệch bằng invariant test.</x:v>
      </x:c>
      <x:c r="J100" s="25" t="str">
        <x:v>P&amp;L engine + reconciliation test</x:v>
      </x:c>
      <x:c r="K100" s="25" t="str">
        <x:v>Đọc lại ví dụ ngay trên trang; ghi câu hỏi cụ thể vào cột Ghi chú; sau 30 phút vẫn bí thì tạo ví dụ nhỏ nhất có thể chạy được.</x:v>
      </x:c>
      <x:c r="L100" s="25" t="str">
        <x:v>Chưa học</x:v>
      </x:c>
      <x:c r="M100" s="25" t="str"/>
    </x:row>
    <x:row r="101" ht="78" customHeight="1">
      <x:c r="A101" s="410" t="n">
        <x:v>32</x:v>
      </x:c>
      <x:c r="B101" s="411" t="n">
        <x:f>'02 Lộ trình 39 tuần'!G36</x:f>
        <x:v>46447</x:v>
      </x:c>
      <x:c r="C101" s="410" t="str">
        <x:v>Reliability và deploy dự án đầu tư</x:v>
      </x:c>
      <x:c r="D101" s="410" t="n">
        <x:v>1</x:v>
      </x:c>
      <x:c r="E101" s="410" t="str">
        <x:v>Failure matrix</x:v>
      </x:c>
      <x:c r="F101" s="410" t="str">
        <x:v>https://docs.aws.amazon.com/prescriptive-guidance/latest/cloud-design-patterns/circuit-breaker.html</x:v>
      </x:c>
      <x:c r="G101" s="410" t="str">
        <x:v>Đọc Applicability và Issues/considerations.</x:v>
      </x:c>
      <x:c r="H101" s="412" t="n">
        <x:v>1.25</x:v>
      </x:c>
      <x:c r="I101" s="410" t="str">
        <x:v>Liệt kê Kafka down, Redis down, stale price, duplicate, out-of-order; expected behavior từng case.</x:v>
      </x:c>
      <x:c r="J101" s="410" t="str">
        <x:v>failure-matrix.md</x:v>
      </x:c>
      <x:c r="K101" s="410" t="str">
        <x:v>Đọc lại ví dụ ngay trên trang; ghi câu hỏi cụ thể vào cột Ghi chú; sau 30 phút vẫn bí thì tạo ví dụ nhỏ nhất có thể chạy được.</x:v>
      </x:c>
      <x:c r="L101" s="410" t="str">
        <x:v>Chưa học</x:v>
      </x:c>
      <x:c r="M101" s="410" t="str"/>
    </x:row>
    <x:row r="102" ht="78" customHeight="1">
      <x:c r="A102" s="410" t="n">
        <x:v>32</x:v>
      </x:c>
      <x:c r="B102" s="411" t="n">
        <x:f>'02 Lộ trình 39 tuần'!G36</x:f>
        <x:v>46447</x:v>
      </x:c>
      <x:c r="C102" s="410" t="str">
        <x:v>Reliability và deploy dự án đầu tư</x:v>
      </x:c>
      <x:c r="D102" s="410" t="n">
        <x:v>2</x:v>
      </x:c>
      <x:c r="E102" s="410" t="str">
        <x:v>Trace từ ingestion đến WebSocket</x:v>
      </x:c>
      <x:c r="F102" s="410" t="str">
        <x:v>https://docs.spring.io/spring-boot/reference/actuator/tracing.html</x:v>
      </x:c>
      <x:c r="G102" s="410" t="str">
        <x:v>Đọc Getting Started, Propagating Traces và Tracer implementations.</x:v>
      </x:c>
      <x:c r="H102" s="412" t="n">
        <x:v>1.5</x:v>
      </x:c>
      <x:c r="I102" s="410" t="str">
        <x:v>Mang traceId qua consumer và WebSocket log; tạo 1 trace minh họa.</x:v>
      </x:c>
      <x:c r="J102" s="410" t="str">
        <x:v>trace screenshot + config</x:v>
      </x:c>
      <x:c r="K102" s="410" t="str">
        <x:v>Đọc lại ví dụ ngay trên trang; ghi câu hỏi cụ thể vào cột Ghi chú; sau 30 phút vẫn bí thì tạo ví dụ nhỏ nhất có thể chạy được.</x:v>
      </x:c>
      <x:c r="L102" s="410" t="str">
        <x:v>Chưa học</x:v>
      </x:c>
      <x:c r="M102" s="410" t="str"/>
    </x:row>
    <x:row r="103" ht="78" customHeight="1">
      <x:c r="A103" s="410" t="n">
        <x:v>32</x:v>
      </x:c>
      <x:c r="B103" s="411" t="n">
        <x:f>'02 Lộ trình 39 tuần'!G36</x:f>
        <x:v>46447</x:v>
      </x:c>
      <x:c r="C103" s="410" t="str">
        <x:v>Reliability và deploy dự án đầu tư</x:v>
      </x:c>
      <x:c r="D103" s="410" t="n">
        <x:v>3</x:v>
      </x:c>
      <x:c r="E103" s="410" t="str">
        <x:v>Release và demo dự án 2</x:v>
      </x:c>
      <x:c r="F103" s="410" t="str">
        <x:v>https://docs.github.com/en/repositories/managing-your-repositorys-settings-and-features/customizing-your-repository/about-readmes</x:v>
      </x:c>
      <x:c r="G103" s="410" t="str">
        <x:v>Đọc lại README checklist; tập trung Screenshots/Examples/How to contribute không bắt buộc.</x:v>
      </x:c>
      <x:c r="H103" s="412" t="n">
        <x:v>1.25</x:v>
      </x:c>
      <x:c r="I103" s="410" t="str">
        <x:v>Deploy chi phí thấp; README, architecture, demo 10 phút, tag v1.0.</x:v>
      </x:c>
      <x:c r="J103" s="410" t="str">
        <x:v>URL + demo + release v1.0</x:v>
      </x:c>
      <x:c r="K103" s="410" t="str">
        <x:v>Đọc lại ví dụ ngay trên trang; ghi câu hỏi cụ thể vào cột Ghi chú; sau 30 phút vẫn bí thì tạo ví dụ nhỏ nhất có thể chạy được.</x:v>
      </x:c>
      <x:c r="L103" s="410" t="str">
        <x:v>Chưa học</x:v>
      </x:c>
      <x:c r="M103" s="410" t="str"/>
    </x:row>
    <x:row r="104" ht="78" customHeight="1">
      <x:c r="A104" s="25" t="n">
        <x:v>33</x:v>
      </x:c>
      <x:c r="B104" s="196" t="n">
        <x:f>'02 Lộ trình 39 tuần'!G37</x:f>
        <x:v>46454</x:v>
      </x:c>
      <x:c r="C104" s="25" t="str">
        <x:v>System design banking</x:v>
      </x:c>
      <x:c r="D104" s="25" t="n">
        <x:v>1</x:v>
      </x:c>
      <x:c r="E104" s="25" t="str">
        <x:v>Framework trả lời system design</x:v>
      </x:c>
      <x:c r="F104" s="25" t="str">
        <x:v>https://github.com/donnemartin/system-design-primer</x:v>
      </x:c>
      <x:c r="G104" s="25" t="str">
        <x:v>Đọc Study Guide, How to approach a system design interview và Step-by-step guide.</x:v>
      </x:c>
      <x:c r="H104" s="299" t="n">
        <x:v>1.5</x:v>
      </x:c>
      <x:c r="I104" s="25" t="str">
        <x:v>Tạo template: requirements→estimate→API→data→high-level→deep dive→trade-offs.</x:v>
      </x:c>
      <x:c r="J104" s="25" t="str">
        <x:v>system-design-template.md</x:v>
      </x:c>
      <x:c r="K104" s="25" t="str">
        <x:v>Đọc lại ví dụ ngay trên trang; ghi câu hỏi cụ thể vào cột Ghi chú; sau 30 phút vẫn bí thì tạo ví dụ nhỏ nhất có thể chạy được.</x:v>
      </x:c>
      <x:c r="L104" s="25" t="str">
        <x:v>Chưa học</x:v>
      </x:c>
      <x:c r="M104" s="25" t="str"/>
    </x:row>
    <x:row r="105" ht="78" customHeight="1">
      <x:c r="A105" s="25" t="n">
        <x:v>33</x:v>
      </x:c>
      <x:c r="B105" s="196" t="n">
        <x:f>'02 Lộ trình 39 tuần'!G37</x:f>
        <x:v>46454</x:v>
      </x:c>
      <x:c r="C105" s="25" t="str">
        <x:v>System design banking</x:v>
      </x:c>
      <x:c r="D105" s="25" t="n">
        <x:v>2</x:v>
      </x:c>
      <x:c r="E105" s="25" t="str">
        <x:v>Design transfer service</x:v>
      </x:c>
      <x:c r="F105" s="25" t="str">
        <x:v>https://github.com/donnemartin/system-design-primer</x:v>
      </x:c>
      <x:c r="G105" s="25" t="str">
        <x:v>Đọc Availability vs Consistency và Database/Transactions; không đọc toàn repo.</x:v>
      </x:c>
      <x:c r="H105" s="299" t="n">
        <x:v>1.5</x:v>
      </x:c>
      <x:c r="I105" s="25" t="str">
        <x:v>Vẽ transfer service 45 phút; xử lý idempotency, ledger, locking, outbox và audit.</x:v>
      </x:c>
      <x:c r="J105" s="25" t="str">
        <x:v>transfer-design.pdf/md</x:v>
      </x:c>
      <x:c r="K105" s="25" t="str">
        <x:v>Đọc lại ví dụ ngay trên trang; ghi câu hỏi cụ thể vào cột Ghi chú; sau 30 phút vẫn bí thì tạo ví dụ nhỏ nhất có thể chạy được.</x:v>
      </x:c>
      <x:c r="L105" s="25" t="str">
        <x:v>Chưa học</x:v>
      </x:c>
      <x:c r="M105" s="25" t="str"/>
    </x:row>
    <x:row r="106" ht="78" customHeight="1">
      <x:c r="A106" s="25" t="n">
        <x:v>33</x:v>
      </x:c>
      <x:c r="B106" s="196" t="n">
        <x:f>'02 Lộ trình 39 tuần'!G37</x:f>
        <x:v>46454</x:v>
      </x:c>
      <x:c r="C106" s="25" t="str">
        <x:v>System design banking</x:v>
      </x:c>
      <x:c r="D106" s="25" t="n">
        <x:v>3</x:v>
      </x:c>
      <x:c r="E106" s="25" t="str">
        <x:v>Design digital banking backend</x:v>
      </x:c>
      <x:c r="F106" s="25" t="str">
        <x:v>https://github.com/donnemartin/system-design-primer</x:v>
      </x:c>
      <x:c r="G106" s="25" t="str">
        <x:v>Đọc Cache, Message Queues và Security.</x:v>
      </x:c>
      <x:c r="H106" s="299" t="n">
        <x:v>1.5</x:v>
      </x:c>
      <x:c r="I106" s="25" t="str">
        <x:v>Mock interview 45 phút bằng tiếng Anh; tự chấm requirements/data/reliability/communication.</x:v>
      </x:c>
      <x:c r="J106" s="25" t="str">
        <x:v>recording + rubric score</x:v>
      </x:c>
      <x:c r="K106" s="25" t="str">
        <x:v>Đọc lại ví dụ ngay trên trang; ghi câu hỏi cụ thể vào cột Ghi chú; sau 30 phút vẫn bí thì tạo ví dụ nhỏ nhất có thể chạy được.</x:v>
      </x:c>
      <x:c r="L106" s="25" t="str">
        <x:v>Chưa học</x:v>
      </x:c>
      <x:c r="M106" s="25" t="str"/>
    </x:row>
    <x:row r="107" ht="78" customHeight="1">
      <x:c r="A107" s="410" t="n">
        <x:v>34</x:v>
      </x:c>
      <x:c r="B107" s="411" t="n">
        <x:f>'02 Lộ trình 39 tuần'!G38</x:f>
        <x:v>46461</x:v>
      </x:c>
      <x:c r="C107" s="410" t="str">
        <x:v>System design market data</x:v>
      </x:c>
      <x:c r="D107" s="410" t="n">
        <x:v>1</x:v>
      </x:c>
      <x:c r="E107" s="410" t="str">
        <x:v>Estimate throughput/storage</x:v>
      </x:c>
      <x:c r="F107" s="410" t="str">
        <x:v>https://github.com/donnemartin/system-design-primer</x:v>
      </x:c>
      <x:c r="G107" s="410" t="str">
        <x:v>Đọc Back-of-the-envelope calculations.</x:v>
      </x:c>
      <x:c r="H107" s="412" t="n">
        <x:v>1.25</x:v>
      </x:c>
      <x:c r="I107" s="410" t="str">
        <x:v>Ước lượng 50k instruments, 5 updates/s, event size, retention 7 ngày.</x:v>
      </x:c>
      <x:c r="J107" s="410" t="str">
        <x:v>capacity-estimate.md</x:v>
      </x:c>
      <x:c r="K107" s="410" t="str">
        <x:v>Đọc lại ví dụ ngay trên trang; ghi câu hỏi cụ thể vào cột Ghi chú; sau 30 phút vẫn bí thì tạo ví dụ nhỏ nhất có thể chạy được.</x:v>
      </x:c>
      <x:c r="L107" s="410" t="str">
        <x:v>Chưa học</x:v>
      </x:c>
      <x:c r="M107" s="410" t="str"/>
    </x:row>
    <x:row r="108" ht="78" customHeight="1">
      <x:c r="A108" s="410" t="n">
        <x:v>34</x:v>
      </x:c>
      <x:c r="B108" s="411" t="n">
        <x:f>'02 Lộ trình 39 tuần'!G38</x:f>
        <x:v>46461</x:v>
      </x:c>
      <x:c r="C108" s="410" t="str">
        <x:v>System design market data</x:v>
      </x:c>
      <x:c r="D108" s="410" t="n">
        <x:v>2</x:v>
      </x:c>
      <x:c r="E108" s="410" t="str">
        <x:v>Design market data platform</x:v>
      </x:c>
      <x:c r="F108" s="410" t="str">
        <x:v>https://github.com/donnemartin/system-design-primer</x:v>
      </x:c>
      <x:c r="G108" s="410" t="str">
        <x:v>Đọc Asynchronism, Cache và Load Balancer.</x:v>
      </x:c>
      <x:c r="H108" s="412" t="n">
        <x:v>1.5</x:v>
      </x:c>
      <x:c r="I108" s="410" t="str">
        <x:v>Thiết kế ingestion→Kafka→processor→Redis→WebSocket; nêu partition/replay/freshness.</x:v>
      </x:c>
      <x:c r="J108" s="410" t="str">
        <x:v>market-data-design.md</x:v>
      </x:c>
      <x:c r="K108" s="410" t="str">
        <x:v>Đọc lại ví dụ ngay trên trang; ghi câu hỏi cụ thể vào cột Ghi chú; sau 30 phút vẫn bí thì tạo ví dụ nhỏ nhất có thể chạy được.</x:v>
      </x:c>
      <x:c r="L108" s="410" t="str">
        <x:v>Chưa học</x:v>
      </x:c>
      <x:c r="M108" s="410" t="str"/>
    </x:row>
    <x:row r="109" ht="78" customHeight="1">
      <x:c r="A109" s="410" t="n">
        <x:v>34</x:v>
      </x:c>
      <x:c r="B109" s="411" t="n">
        <x:f>'02 Lộ trình 39 tuần'!G38</x:f>
        <x:v>46461</x:v>
      </x:c>
      <x:c r="C109" s="410" t="str">
        <x:v>System design market data</x:v>
      </x:c>
      <x:c r="D109" s="410" t="n">
        <x:v>3</x:v>
      </x:c>
      <x:c r="E109" s="410" t="str">
        <x:v>Mock interview tiếng Anh</x:v>
      </x:c>
      <x:c r="F109" s="410" t="str">
        <x:v>https://github.com/donnemartin/system-design-primer</x:v>
      </x:c>
      <x:c r="G109" s="410" t="str">
        <x:v>Dùng Step-by-step guide làm rubric; không mở thêm tài liệu.</x:v>
      </x:c>
      <x:c r="H109" s="412" t="n">
        <x:v>1.25</x:v>
      </x:c>
      <x:c r="I109" s="410" t="str">
        <x:v>Trình bày 45 phút; ghi 5 từ chuyên ngành nói chưa trôi chảy và sửa.</x:v>
      </x:c>
      <x:c r="J109" s="410" t="str">
        <x:v>recording + vocabulary-fixes.md</x:v>
      </x:c>
      <x:c r="K109" s="410" t="str">
        <x:v>Đọc lại ví dụ ngay trên trang; ghi câu hỏi cụ thể vào cột Ghi chú; sau 30 phút vẫn bí thì tạo ví dụ nhỏ nhất có thể chạy được.</x:v>
      </x:c>
      <x:c r="L109" s="410" t="str">
        <x:v>Chưa học</x:v>
      </x:c>
      <x:c r="M109" s="410" t="str"/>
    </x:row>
    <x:row r="110" ht="78" customHeight="1">
      <x:c r="A110" s="25" t="n">
        <x:v>35</x:v>
      </x:c>
      <x:c r="B110" s="196" t="n">
        <x:f>'02 Lộ trình 39 tuần'!G39</x:f>
        <x:v>46468</x:v>
      </x:c>
      <x:c r="C110" s="25" t="str">
        <x:v>DSA và SQL interview</x:v>
      </x:c>
      <x:c r="D110" s="25" t="n">
        <x:v>1</x:v>
      </x:c>
      <x:c r="E110" s="25" t="str">
        <x:v>Two Sum</x:v>
      </x:c>
      <x:c r="F110" s="25" t="str">
        <x:v>https://leetcode.com/problems/two-sum/</x:v>
      </x:c>
      <x:c r="G110" s="25" t="str">
        <x:v>Đọc đề và examples; không mở solution trước 25 phút.</x:v>
      </x:c>
      <x:c r="H110" s="299" t="n">
        <x:v>0.75</x:v>
      </x:c>
      <x:c r="I110" s="25" t="str">
        <x:v>Giải O(n) bằng HashMap; nói complexity bằng tiếng Anh.</x:v>
      </x:c>
      <x:c r="J110" s="25" t="str">
        <x:v>Accepted submission + note</x:v>
      </x:c>
      <x:c r="K110" s="25" t="str">
        <x:v>Đọc lại ví dụ ngay trên trang; ghi câu hỏi cụ thể vào cột Ghi chú; sau 30 phút vẫn bí thì tạo ví dụ nhỏ nhất có thể chạy được.</x:v>
      </x:c>
      <x:c r="L110" s="25" t="str">
        <x:v>Chưa học</x:v>
      </x:c>
      <x:c r="M110" s="25" t="str"/>
    </x:row>
    <x:row r="111" ht="78" customHeight="1">
      <x:c r="A111" s="25" t="n">
        <x:v>35</x:v>
      </x:c>
      <x:c r="B111" s="196" t="n">
        <x:f>'02 Lộ trình 39 tuần'!G39</x:f>
        <x:v>46468</x:v>
      </x:c>
      <x:c r="C111" s="25" t="str">
        <x:v>DSA và SQL interview</x:v>
      </x:c>
      <x:c r="D111" s="25" t="n">
        <x:v>2</x:v>
      </x:c>
      <x:c r="E111" s="25" t="str">
        <x:v>Group Anagrams</x:v>
      </x:c>
      <x:c r="F111" s="25" t="str">
        <x:v>https://leetcode.com/problems/group-anagrams/</x:v>
      </x:c>
      <x:c r="G111" s="25" t="str">
        <x:v>Đọc đề; tự chọn key trước khi xem hints.</x:v>
      </x:c>
      <x:c r="H111" s="299" t="n">
        <x:v>0.75</x:v>
      </x:c>
      <x:c r="I111" s="25" t="str">
        <x:v>Giải bằng sorted key hoặc frequency key; so sánh complexity.</x:v>
      </x:c>
      <x:c r="J111" s="25" t="str">
        <x:v>Accepted + comparison</x:v>
      </x:c>
      <x:c r="K111" s="25" t="str">
        <x:v>Đọc lại ví dụ ngay trên trang; ghi câu hỏi cụ thể vào cột Ghi chú; sau 30 phút vẫn bí thì tạo ví dụ nhỏ nhất có thể chạy được.</x:v>
      </x:c>
      <x:c r="L111" s="25" t="str">
        <x:v>Chưa học</x:v>
      </x:c>
      <x:c r="M111" s="25" t="str"/>
    </x:row>
    <x:row r="112" ht="78" customHeight="1">
      <x:c r="A112" s="25" t="n">
        <x:v>35</x:v>
      </x:c>
      <x:c r="B112" s="196" t="n">
        <x:f>'02 Lộ trình 39 tuần'!G39</x:f>
        <x:v>46468</x:v>
      </x:c>
      <x:c r="C112" s="25" t="str">
        <x:v>DSA và SQL interview</x:v>
      </x:c>
      <x:c r="D112" s="25" t="n">
        <x:v>3</x:v>
      </x:c>
      <x:c r="E112" s="25" t="str">
        <x:v>Longest Substring Without Repeating Characters</x:v>
      </x:c>
      <x:c r="F112" s="25" t="str">
        <x:v>https://leetcode.com/problems/longest-substring-without-repeating-characters/</x:v>
      </x:c>
      <x:c r="G112" s="25" t="str">
        <x:v>Đọc đề; xác định invariant cửa sổ trượt.</x:v>
      </x:c>
      <x:c r="H112" s="299" t="n">
        <x:v>0.75</x:v>
      </x:c>
      <x:c r="I112" s="25" t="str">
        <x:v>Giải sliding window O(n); test chuỗi rỗng và Unicode assumption.</x:v>
      </x:c>
      <x:c r="J112" s="25" t="str">
        <x:v>Accepted + invariant note</x:v>
      </x:c>
      <x:c r="K112" s="25" t="str">
        <x:v>Đọc lại ví dụ ngay trên trang; ghi câu hỏi cụ thể vào cột Ghi chú; sau 30 phút vẫn bí thì tạo ví dụ nhỏ nhất có thể chạy được.</x:v>
      </x:c>
      <x:c r="L112" s="25" t="str">
        <x:v>Chưa học</x:v>
      </x:c>
      <x:c r="M112" s="25" t="str"/>
    </x:row>
    <x:row r="113" ht="78" customHeight="1">
      <x:c r="A113" s="25" t="n">
        <x:v>35</x:v>
      </x:c>
      <x:c r="B113" s="196" t="n">
        <x:f>'02 Lộ trình 39 tuần'!G39</x:f>
        <x:v>46468</x:v>
      </x:c>
      <x:c r="C113" s="25" t="str">
        <x:v>DSA và SQL interview</x:v>
      </x:c>
      <x:c r="D113" s="25" t="n">
        <x:v>4</x:v>
      </x:c>
      <x:c r="E113" s="25" t="str">
        <x:v>Top K Frequent Elements</x:v>
      </x:c>
      <x:c r="F113" s="25" t="str">
        <x:v>https://leetcode.com/problems/top-k-frequent-elements/</x:v>
      </x:c>
      <x:c r="G113" s="25" t="str">
        <x:v>Đọc đề; nêu hai cách heap và bucket.</x:v>
      </x:c>
      <x:c r="H113" s="299" t="n">
        <x:v>0.75</x:v>
      </x:c>
      <x:c r="I113" s="25" t="str">
        <x:v>Cài một cách; giải thích khi chọn cách còn lại.</x:v>
      </x:c>
      <x:c r="J113" s="25" t="str">
        <x:v>Accepted + complexity</x:v>
      </x:c>
      <x:c r="K113" s="25" t="str">
        <x:v>Đọc lại ví dụ ngay trên trang; ghi câu hỏi cụ thể vào cột Ghi chú; sau 30 phút vẫn bí thì tạo ví dụ nhỏ nhất có thể chạy được.</x:v>
      </x:c>
      <x:c r="L113" s="25" t="str">
        <x:v>Chưa học</x:v>
      </x:c>
      <x:c r="M113" s="25" t="str"/>
    </x:row>
    <x:row r="114" ht="78" customHeight="1">
      <x:c r="A114" s="25" t="n">
        <x:v>35</x:v>
      </x:c>
      <x:c r="B114" s="196" t="n">
        <x:f>'02 Lộ trình 39 tuần'!G39</x:f>
        <x:v>46468</x:v>
      </x:c>
      <x:c r="C114" s="25" t="str">
        <x:v>DSA và SQL interview</x:v>
      </x:c>
      <x:c r="D114" s="25" t="n">
        <x:v>5</x:v>
      </x:c>
      <x:c r="E114" s="25" t="str">
        <x:v>Merge Intervals</x:v>
      </x:c>
      <x:c r="F114" s="25" t="str">
        <x:v>https://leetcode.com/problems/merge-intervals/</x:v>
      </x:c>
      <x:c r="G114" s="25" t="str">
        <x:v>Đọc đề; viết điều kiện overlap trước khi code.</x:v>
      </x:c>
      <x:c r="H114" s="299" t="n">
        <x:v>0.75</x:v>
      </x:c>
      <x:c r="I114" s="25" t="str">
        <x:v>Sort rồi merge; tự tạo 5 edge cases.</x:v>
      </x:c>
      <x:c r="J114" s="25" t="str">
        <x:v>Accepted + edge cases</x:v>
      </x:c>
      <x:c r="K114" s="25" t="str">
        <x:v>Đọc lại ví dụ ngay trên trang; ghi câu hỏi cụ thể vào cột Ghi chú; sau 30 phút vẫn bí thì tạo ví dụ nhỏ nhất có thể chạy được.</x:v>
      </x:c>
      <x:c r="L114" s="25" t="str">
        <x:v>Chưa học</x:v>
      </x:c>
      <x:c r="M114" s="25" t="str"/>
    </x:row>
    <x:row r="115" ht="78" customHeight="1">
      <x:c r="A115" s="25" t="n">
        <x:v>35</x:v>
      </x:c>
      <x:c r="B115" s="196" t="n">
        <x:f>'02 Lộ trình 39 tuần'!G39</x:f>
        <x:v>46468</x:v>
      </x:c>
      <x:c r="C115" s="25" t="str">
        <x:v>DSA và SQL interview</x:v>
      </x:c>
      <x:c r="D115" s="25" t="n">
        <x:v>6</x:v>
      </x:c>
      <x:c r="E115" s="25" t="str">
        <x:v>Binary Tree Level Order Traversal</x:v>
      </x:c>
      <x:c r="F115" s="25" t="str">
        <x:v>https://leetcode.com/problems/binary-tree-level-order-traversal/</x:v>
      </x:c>
      <x:c r="G115" s="25" t="str">
        <x:v>Đọc đề; xác định queue chứa gì ở mỗi level.</x:v>
      </x:c>
      <x:c r="H115" s="299" t="n">
        <x:v>0.75</x:v>
      </x:c>
      <x:c r="I115" s="25" t="str">
        <x:v>Giải BFS; nói memory theo chiều rộng cây.</x:v>
      </x:c>
      <x:c r="J115" s="25" t="str">
        <x:v>Accepted + explanation</x:v>
      </x:c>
      <x:c r="K115" s="25" t="str">
        <x:v>Đọc lại ví dụ ngay trên trang; ghi câu hỏi cụ thể vào cột Ghi chú; sau 30 phút vẫn bí thì tạo ví dụ nhỏ nhất có thể chạy được.</x:v>
      </x:c>
      <x:c r="L115" s="25" t="str">
        <x:v>Chưa học</x:v>
      </x:c>
      <x:c r="M115" s="25" t="str"/>
    </x:row>
    <x:row r="116" ht="78" customHeight="1">
      <x:c r="A116" s="25" t="n">
        <x:v>35</x:v>
      </x:c>
      <x:c r="B116" s="196" t="n">
        <x:f>'02 Lộ trình 39 tuần'!G39</x:f>
        <x:v>46468</x:v>
      </x:c>
      <x:c r="C116" s="25" t="str">
        <x:v>DSA và SQL interview</x:v>
      </x:c>
      <x:c r="D116" s="25" t="n">
        <x:v>7</x:v>
      </x:c>
      <x:c r="E116" s="25" t="str">
        <x:v>Number of Islands</x:v>
      </x:c>
      <x:c r="F116" s="25" t="str">
        <x:v>https://leetcode.com/problems/number-of-islands/</x:v>
      </x:c>
      <x:c r="G116" s="25" t="str">
        <x:v>Đọc đề; quyết định DFS/BFS và visited strategy.</x:v>
      </x:c>
      <x:c r="H116" s="299" t="n">
        <x:v>0.75</x:v>
      </x:c>
      <x:c r="I116" s="25" t="str">
        <x:v>Giải; test grid 1x1 và toàn nước.</x:v>
      </x:c>
      <x:c r="J116" s="25" t="str">
        <x:v>Accepted + 4 tests</x:v>
      </x:c>
      <x:c r="K116" s="25" t="str">
        <x:v>Đọc lại ví dụ ngay trên trang; ghi câu hỏi cụ thể vào cột Ghi chú; sau 30 phút vẫn bí thì tạo ví dụ nhỏ nhất có thể chạy được.</x:v>
      </x:c>
      <x:c r="L116" s="25" t="str">
        <x:v>Chưa học</x:v>
      </x:c>
      <x:c r="M116" s="25" t="str"/>
    </x:row>
    <x:row r="117" ht="78" customHeight="1">
      <x:c r="A117" s="25" t="n">
        <x:v>35</x:v>
      </x:c>
      <x:c r="B117" s="196" t="n">
        <x:f>'02 Lộ trình 39 tuần'!G39</x:f>
        <x:v>46468</x:v>
      </x:c>
      <x:c r="C117" s="25" t="str">
        <x:v>DSA và SQL interview</x:v>
      </x:c>
      <x:c r="D117" s="25" t="n">
        <x:v>8</x:v>
      </x:c>
      <x:c r="E117" s="25" t="str">
        <x:v>Course Schedule</x:v>
      </x:c>
      <x:c r="F117" s="25" t="str">
        <x:v>https://leetcode.com/problems/course-schedule/</x:v>
      </x:c>
      <x:c r="G117" s="25" t="str">
        <x:v>Đọc đề; mô hình thành directed graph.</x:v>
      </x:c>
      <x:c r="H117" s="299" t="n">
        <x:v>0.9</x:v>
      </x:c>
      <x:c r="I117" s="25" t="str">
        <x:v>Giải Kahn hoặc DFS color; giải thích phát hiện cycle.</x:v>
      </x:c>
      <x:c r="J117" s="25" t="str">
        <x:v>Accepted + graph note</x:v>
      </x:c>
      <x:c r="K117" s="25" t="str">
        <x:v>Đọc lại ví dụ ngay trên trang; ghi câu hỏi cụ thể vào cột Ghi chú; sau 30 phút vẫn bí thì tạo ví dụ nhỏ nhất có thể chạy được.</x:v>
      </x:c>
      <x:c r="L117" s="25" t="str">
        <x:v>Chưa học</x:v>
      </x:c>
      <x:c r="M117" s="25" t="str"/>
    </x:row>
    <x:row r="118" ht="78" customHeight="1">
      <x:c r="A118" s="25" t="n">
        <x:v>35</x:v>
      </x:c>
      <x:c r="B118" s="196" t="n">
        <x:f>'02 Lộ trình 39 tuần'!G39</x:f>
        <x:v>46468</x:v>
      </x:c>
      <x:c r="C118" s="25" t="str">
        <x:v>DSA và SQL interview</x:v>
      </x:c>
      <x:c r="D118" s="25" t="n">
        <x:v>9</x:v>
      </x:c>
      <x:c r="E118" s="25" t="str">
        <x:v>Kth Largest Element in an Array</x:v>
      </x:c>
      <x:c r="F118" s="25" t="str">
        <x:v>https://leetcode.com/problems/kth-largest-element-in-an-array/</x:v>
      </x:c>
      <x:c r="G118" s="25" t="str">
        <x:v>Đọc đề; nêu heap vs quickselect.</x:v>
      </x:c>
      <x:c r="H118" s="299" t="n">
        <x:v>0.75</x:v>
      </x:c>
      <x:c r="I118" s="25" t="str">
        <x:v>Cài heap O(n log k); mô tả quickselect trade-off.</x:v>
      </x:c>
      <x:c r="J118" s="25" t="str">
        <x:v>Accepted + complexity</x:v>
      </x:c>
      <x:c r="K118" s="25" t="str">
        <x:v>Đọc lại ví dụ ngay trên trang; ghi câu hỏi cụ thể vào cột Ghi chú; sau 30 phút vẫn bí thì tạo ví dụ nhỏ nhất có thể chạy được.</x:v>
      </x:c>
      <x:c r="L118" s="25" t="str">
        <x:v>Chưa học</x:v>
      </x:c>
      <x:c r="M118" s="25" t="str"/>
    </x:row>
    <x:row r="119" ht="78" customHeight="1">
      <x:c r="A119" s="25" t="n">
        <x:v>35</x:v>
      </x:c>
      <x:c r="B119" s="196" t="n">
        <x:f>'02 Lộ trình 39 tuần'!G39</x:f>
        <x:v>46468</x:v>
      </x:c>
      <x:c r="C119" s="25" t="str">
        <x:v>DSA và SQL interview</x:v>
      </x:c>
      <x:c r="D119" s="25" t="n">
        <x:v>10</x:v>
      </x:c>
      <x:c r="E119" s="25" t="str">
        <x:v>LRU Cache</x:v>
      </x:c>
      <x:c r="F119" s="25" t="str">
        <x:v>https://leetcode.com/problems/lru-cache/</x:v>
      </x:c>
      <x:c r="G119" s="25" t="str">
        <x:v>Đọc đề; liệt kê yêu cầu O(1) trước khi code.</x:v>
      </x:c>
      <x:c r="H119" s="299" t="n">
        <x:v>1</x:v>
      </x:c>
      <x:c r="I119" s="25" t="str">
        <x:v>Cài HashMap + doubly linked list bằng Java.</x:v>
      </x:c>
      <x:c r="J119" s="25" t="str">
        <x:v>Accepted + diagram</x:v>
      </x:c>
      <x:c r="K119" s="25" t="str">
        <x:v>Đọc lại ví dụ ngay trên trang; ghi câu hỏi cụ thể vào cột Ghi chú; sau 30 phút vẫn bí thì tạo ví dụ nhỏ nhất có thể chạy được.</x:v>
      </x:c>
      <x:c r="L119" s="25" t="str">
        <x:v>Chưa học</x:v>
      </x:c>
      <x:c r="M119" s="25" t="str"/>
    </x:row>
    <x:row r="120" ht="78" customHeight="1">
      <x:c r="A120" s="25" t="n">
        <x:v>35</x:v>
      </x:c>
      <x:c r="B120" s="196" t="n">
        <x:f>'02 Lộ trình 39 tuần'!G39</x:f>
        <x:v>46468</x:v>
      </x:c>
      <x:c r="C120" s="25" t="str">
        <x:v>DSA và SQL interview</x:v>
      </x:c>
      <x:c r="D120" s="25" t="n">
        <x:v>11</x:v>
      </x:c>
      <x:c r="E120" s="25" t="str">
        <x:v>Time Based Key-Value Store</x:v>
      </x:c>
      <x:c r="F120" s="25" t="str">
        <x:v>https://leetcode.com/problems/time-based-key-value-store/</x:v>
      </x:c>
      <x:c r="G120" s="25" t="str">
        <x:v>Đọc đề; nhận ra timestamp tăng dần.</x:v>
      </x:c>
      <x:c r="H120" s="299" t="n">
        <x:v>0.75</x:v>
      </x:c>
      <x:c r="I120" s="25" t="str">
        <x:v>Cài Map&lt;String,List&lt;Entry&gt;&gt; + binary search.</x:v>
      </x:c>
      <x:c r="J120" s="25" t="str">
        <x:v>Accepted + complexity</x:v>
      </x:c>
      <x:c r="K120" s="25" t="str">
        <x:v>Đọc lại ví dụ ngay trên trang; ghi câu hỏi cụ thể vào cột Ghi chú; sau 30 phút vẫn bí thì tạo ví dụ nhỏ nhất có thể chạy được.</x:v>
      </x:c>
      <x:c r="L120" s="25" t="str">
        <x:v>Chưa học</x:v>
      </x:c>
      <x:c r="M120" s="25" t="str"/>
    </x:row>
    <x:row r="121" ht="78" customHeight="1">
      <x:c r="A121" s="25" t="n">
        <x:v>35</x:v>
      </x:c>
      <x:c r="B121" s="196" t="n">
        <x:f>'02 Lộ trình 39 tuần'!G39</x:f>
        <x:v>46468</x:v>
      </x:c>
      <x:c r="C121" s="25" t="str">
        <x:v>DSA và SQL interview</x:v>
      </x:c>
      <x:c r="D121" s="25" t="n">
        <x:v>12</x:v>
      </x:c>
      <x:c r="E121" s="25" t="str">
        <x:v>SQL: Second Highest Salary</x:v>
      </x:c>
      <x:c r="F121" s="25" t="str">
        <x:v>https://leetcode.com/problems/second-highest-salary/</x:v>
      </x:c>
      <x:c r="G121" s="25" t="str">
        <x:v>Đọc đề; xử lý duplicate và null.</x:v>
      </x:c>
      <x:c r="H121" s="299" t="n">
        <x:v>0.6</x:v>
      </x:c>
      <x:c r="I121" s="25" t="str">
        <x:v>Viết 2 cách: subquery và dense_rank.</x:v>
      </x:c>
      <x:c r="J121" s="25" t="str">
        <x:v>Accepted SQL + comparison</x:v>
      </x:c>
      <x:c r="K121" s="25" t="str">
        <x:v>Đọc lại ví dụ ngay trên trang; ghi câu hỏi cụ thể vào cột Ghi chú; sau 30 phút vẫn bí thì tạo ví dụ nhỏ nhất có thể chạy được.</x:v>
      </x:c>
      <x:c r="L121" s="25" t="str">
        <x:v>Chưa học</x:v>
      </x:c>
      <x:c r="M121" s="25" t="str"/>
    </x:row>
    <x:row r="122" ht="78" customHeight="1">
      <x:c r="A122" s="25" t="n">
        <x:v>35</x:v>
      </x:c>
      <x:c r="B122" s="196" t="n">
        <x:f>'02 Lộ trình 39 tuần'!G39</x:f>
        <x:v>46468</x:v>
      </x:c>
      <x:c r="C122" s="25" t="str">
        <x:v>DSA và SQL interview</x:v>
      </x:c>
      <x:c r="D122" s="25" t="n">
        <x:v>13</x:v>
      </x:c>
      <x:c r="E122" s="25" t="str">
        <x:v>SQL: Department Top Three Salaries</x:v>
      </x:c>
      <x:c r="F122" s="25" t="str">
        <x:v>https://leetcode.com/problems/department-top-three-salaries/</x:v>
      </x:c>
      <x:c r="G122" s="25" t="str">
        <x:v>Đọc đề; xác định partition/order.</x:v>
      </x:c>
      <x:c r="H122" s="299" t="n">
        <x:v>0.8</x:v>
      </x:c>
      <x:c r="I122" s="25" t="str">
        <x:v>Giải bằng DENSE_RANK OVER(PARTITION BY departmentId ORDER BY salary DESC).</x:v>
      </x:c>
      <x:c r="J122" s="25" t="str">
        <x:v>Accepted SQL</x:v>
      </x:c>
      <x:c r="K122" s="25" t="str">
        <x:v>Đọc lại ví dụ ngay trên trang; ghi câu hỏi cụ thể vào cột Ghi chú; sau 30 phút vẫn bí thì tạo ví dụ nhỏ nhất có thể chạy được.</x:v>
      </x:c>
      <x:c r="L122" s="25" t="str">
        <x:v>Chưa học</x:v>
      </x:c>
      <x:c r="M122" s="25" t="str"/>
    </x:row>
    <x:row r="123" ht="78" customHeight="1">
      <x:c r="A123" s="25" t="n">
        <x:v>35</x:v>
      </x:c>
      <x:c r="B123" s="196" t="n">
        <x:f>'02 Lộ trình 39 tuần'!G39</x:f>
        <x:v>46468</x:v>
      </x:c>
      <x:c r="C123" s="25" t="str">
        <x:v>DSA và SQL interview</x:v>
      </x:c>
      <x:c r="D123" s="25" t="n">
        <x:v>14</x:v>
      </x:c>
      <x:c r="E123" s="25" t="str">
        <x:v>SQL: Confirmation Rate</x:v>
      </x:c>
      <x:c r="F123" s="25" t="str">
        <x:v>https://leetcode.com/problems/confirmation-rate/</x:v>
      </x:c>
      <x:c r="G123" s="25" t="str">
        <x:v>Đọc đề; chú ý user không có confirmation.</x:v>
      </x:c>
      <x:c r="H123" s="299" t="n">
        <x:v>0.7</x:v>
      </x:c>
      <x:c r="I123" s="25" t="str">
        <x:v>Giải bằng LEFT JOIN và conditional aggregation.</x:v>
      </x:c>
      <x:c r="J123" s="25" t="str">
        <x:v>Accepted SQL</x:v>
      </x:c>
      <x:c r="K123" s="25" t="str">
        <x:v>Đọc lại ví dụ ngay trên trang; ghi câu hỏi cụ thể vào cột Ghi chú; sau 30 phút vẫn bí thì tạo ví dụ nhỏ nhất có thể chạy được.</x:v>
      </x:c>
      <x:c r="L123" s="25" t="str">
        <x:v>Chưa học</x:v>
      </x:c>
      <x:c r="M123" s="25" t="str"/>
    </x:row>
    <x:row r="124" ht="78" customHeight="1">
      <x:c r="A124" s="410" t="n">
        <x:v>36</x:v>
      </x:c>
      <x:c r="B124" s="411" t="n">
        <x:f>'02 Lộ trình 39 tuần'!G40</x:f>
        <x:v>46475</x:v>
      </x:c>
      <x:c r="C124" s="410" t="str">
        <x:v>Behavioral và senior evidence</x:v>
      </x:c>
      <x:c r="D124" s="410" t="n">
        <x:v>1</x:v>
      </x:c>
      <x:c r="E124" s="410" t="str">
        <x:v>Cấu trúc STAR</x:v>
      </x:c>
      <x:c r="F124" s="410" t="str">
        <x:v>https://www.amazon.jobs/content/en/how-we-hire/interviewing-at-amazon</x:v>
      </x:c>
      <x:c r="G124" s="410" t="str">
        <x:v>Đọc Interviewing at Amazon và phần chuẩn bị examples/behavioral questions.</x:v>
      </x:c>
      <x:c r="H124" s="412" t="n">
        <x:v>1.25</x:v>
      </x:c>
      <x:c r="I124" s="410" t="str">
        <x:v>Viết STAR #1: thiết kế feature lớn; #2: incident/bug khó.</x:v>
      </x:c>
      <x:c r="J124" s="410" t="str">
        <x:v>2 STAR stories, mỗi bài ≤250 từ</x:v>
      </x:c>
      <x:c r="K124" s="410" t="str">
        <x:v>Đọc lại ví dụ ngay trên trang; ghi câu hỏi cụ thể vào cột Ghi chú; sau 30 phút vẫn bí thì tạo ví dụ nhỏ nhất có thể chạy được.</x:v>
      </x:c>
      <x:c r="L124" s="410" t="str">
        <x:v>Chưa học</x:v>
      </x:c>
      <x:c r="M124" s="410" t="str"/>
    </x:row>
    <x:row r="125" ht="78" customHeight="1">
      <x:c r="A125" s="410" t="n">
        <x:v>36</x:v>
      </x:c>
      <x:c r="B125" s="411" t="n">
        <x:f>'02 Lộ trình 39 tuần'!G40</x:f>
        <x:v>46475</x:v>
      </x:c>
      <x:c r="C125" s="410" t="str">
        <x:v>Behavioral và senior evidence</x:v>
      </x:c>
      <x:c r="D125" s="410" t="n">
        <x:v>2</x:v>
      </x:c>
      <x:c r="E125" s="410" t="str">
        <x:v>Leadership không cần title lead</x:v>
      </x:c>
      <x:c r="F125" s="410" t="str">
        <x:v>https://www.amazon.jobs/content/en/how-we-hire/interviewing-at-amazon</x:v>
      </x:c>
      <x:c r="G125" s="410" t="str">
        <x:v>Đọc phần behavioral interview; tập trung ownership, trade-off, influence.</x:v>
      </x:c>
      <x:c r="H125" s="412" t="n">
        <x:v>1.25</x:v>
      </x:c>
      <x:c r="I125" s="410" t="str">
        <x:v>Viết STAR #3: estimate/chia việc; #4: code review/giúp đồng đội.</x:v>
      </x:c>
      <x:c r="J125" s="410" t="str">
        <x:v>2 STAR stories</x:v>
      </x:c>
      <x:c r="K125" s="410" t="str">
        <x:v>Đọc lại ví dụ ngay trên trang; ghi câu hỏi cụ thể vào cột Ghi chú; sau 30 phút vẫn bí thì tạo ví dụ nhỏ nhất có thể chạy được.</x:v>
      </x:c>
      <x:c r="L125" s="410" t="str">
        <x:v>Chưa học</x:v>
      </x:c>
      <x:c r="M125" s="410" t="str"/>
    </x:row>
    <x:row r="126" ht="78" customHeight="1">
      <x:c r="A126" s="410" t="n">
        <x:v>36</x:v>
      </x:c>
      <x:c r="B126" s="411" t="n">
        <x:f>'02 Lộ trình 39 tuần'!G40</x:f>
        <x:v>46475</x:v>
      </x:c>
      <x:c r="C126" s="410" t="str">
        <x:v>Behavioral và senior evidence</x:v>
      </x:c>
      <x:c r="D126" s="410" t="n">
        <x:v>3</x:v>
      </x:c>
      <x:c r="E126" s="410" t="str">
        <x:v>Failure và conflict</x:v>
      </x:c>
      <x:c r="F126" s="410" t="str">
        <x:v>https://www.amazon.jobs/content/en/how-we-hire/interviewing-at-amazon</x:v>
      </x:c>
      <x:c r="G126" s="410" t="str">
        <x:v>Đọc lại hướng dẫn examples; không học thuộc câu chữ.</x:v>
      </x:c>
      <x:c r="H126" s="412" t="n">
        <x:v>1.25</x:v>
      </x:c>
      <x:c r="I126" s="410" t="str">
        <x:v>Viết STAR #5: sai lầm; #6: bất đồng kỹ thuật. Mỗi story có số liệu và điều học được.</x:v>
      </x:c>
      <x:c r="J126" s="410" t="str">
        <x:v>6 stories hoàn chỉnh + audio EN</x:v>
      </x:c>
      <x:c r="K126" s="410" t="str">
        <x:v>Đọc lại ví dụ ngay trên trang; ghi câu hỏi cụ thể vào cột Ghi chú; sau 30 phút vẫn bí thì tạo ví dụ nhỏ nhất có thể chạy được.</x:v>
      </x:c>
      <x:c r="L126" s="410" t="str">
        <x:v>Chưa học</x:v>
      </x:c>
      <x:c r="M126" s="410" t="str"/>
    </x:row>
    <x:row r="127" ht="78" customHeight="1">
      <x:c r="A127" s="25" t="n">
        <x:v>37</x:v>
      </x:c>
      <x:c r="B127" s="196" t="n">
        <x:f>'02 Lộ trình 39 tuần'!G41</x:f>
        <x:v>46482</x:v>
      </x:c>
      <x:c r="C127" s="25" t="str">
        <x:v>GitHub, CV và LinkedIn</x:v>
      </x:c>
      <x:c r="D127" s="25" t="n">
        <x:v>1</x:v>
      </x:c>
      <x:c r="E127" s="25" t="str">
        <x:v>README từng dự án</x:v>
      </x:c>
      <x:c r="F127" s="25" t="str">
        <x:v>https://docs.github.com/en/repositories/managing-your-repositorys-settings-and-features/customizing-your-repository/about-readmes</x:v>
      </x:c>
      <x:c r="G127" s="25" t="str">
        <x:v>Đọc What should your README include?; dùng như checklist.</x:v>
      </x:c>
      <x:c r="H127" s="299" t="n">
        <x:v>1.25</x:v>
      </x:c>
      <x:c r="I127" s="25" t="str">
        <x:v>Rút README về cấu trúc 8 phần; thêm architecture image, demo URL, trade-offs.</x:v>
      </x:c>
      <x:c r="J127" s="25" t="str">
        <x:v>2 README đạt checklist</x:v>
      </x:c>
      <x:c r="K127" s="25" t="str">
        <x:v>Đọc lại ví dụ ngay trên trang; ghi câu hỏi cụ thể vào cột Ghi chú; sau 30 phút vẫn bí thì tạo ví dụ nhỏ nhất có thể chạy được.</x:v>
      </x:c>
      <x:c r="L127" s="25" t="str">
        <x:v>Chưa học</x:v>
      </x:c>
      <x:c r="M127" s="25" t="str"/>
    </x:row>
    <x:row r="128" ht="78" customHeight="1">
      <x:c r="A128" s="25" t="n">
        <x:v>37</x:v>
      </x:c>
      <x:c r="B128" s="196" t="n">
        <x:f>'02 Lộ trình 39 tuần'!G41</x:f>
        <x:v>46482</x:v>
      </x:c>
      <x:c r="C128" s="25" t="str">
        <x:v>GitHub, CV và LinkedIn</x:v>
      </x:c>
      <x:c r="D128" s="25" t="n">
        <x:v>2</x:v>
      </x:c>
      <x:c r="E128" s="25" t="str">
        <x:v>GitHub profile README</x:v>
      </x:c>
      <x:c r="F128" s="25" t="str">
        <x:v>https://docs.github.com/en/account-and-profile/how-tos/profile-customization/managing-your-profile-readme</x:v>
      </x:c>
      <x:c r="G128" s="25" t="str">
        <x:v>Đọc Adding a profile README và Removing a profile README.</x:v>
      </x:c>
      <x:c r="H128" s="299" t="n">
        <x:v>1</x:v>
      </x:c>
      <x:c r="I128" s="25" t="str">
        <x:v>Tạo profile README: positioning, stack, 2 featured projects, contact.</x:v>
      </x:c>
      <x:c r="J128" s="25" t="str">
        <x:v>Profile README public</x:v>
      </x:c>
      <x:c r="K128" s="25" t="str">
        <x:v>Đọc lại ví dụ ngay trên trang; ghi câu hỏi cụ thể vào cột Ghi chú; sau 30 phút vẫn bí thì tạo ví dụ nhỏ nhất có thể chạy được.</x:v>
      </x:c>
      <x:c r="L128" s="25" t="str">
        <x:v>Chưa học</x:v>
      </x:c>
      <x:c r="M128" s="25" t="str"/>
    </x:row>
    <x:row r="129" ht="78" customHeight="1">
      <x:c r="A129" s="25" t="n">
        <x:v>37</x:v>
      </x:c>
      <x:c r="B129" s="196" t="n">
        <x:f>'02 Lộ trình 39 tuần'!G41</x:f>
        <x:v>46482</x:v>
      </x:c>
      <x:c r="C129" s="25" t="str">
        <x:v>GitHub, CV và LinkedIn</x:v>
      </x:c>
      <x:c r="D129" s="25" t="n">
        <x:v>3</x:v>
      </x:c>
      <x:c r="E129" s="25" t="str">
        <x:v>CV theo bằng chứng</x:v>
      </x:c>
      <x:c r="F129" s="25" t="str">
        <x:v>https://www.amazon.jobs/content/en/how-we-hire/interviewing-at-amazon</x:v>
      </x:c>
      <x:c r="G129" s="25" t="str">
        <x:v>Dùng mô tả chuẩn bị interview để chọn ví dụ; không sao chép wording.</x:v>
      </x:c>
      <x:c r="H129" s="299" t="n">
        <x:v>1.5</x:v>
      </x:c>
      <x:c r="I129" s="25" t="str">
        <x:v>Viết CV 1–2 trang: mỗi bullet Action+Scope+Result; không tự nhận domain experience chưa có.</x:v>
      </x:c>
      <x:c r="J129" s="25" t="str">
        <x:v>CV banking + CV remote</x:v>
      </x:c>
      <x:c r="K129" s="25" t="str">
        <x:v>Đọc lại ví dụ ngay trên trang; ghi câu hỏi cụ thể vào cột Ghi chú; sau 30 phút vẫn bí thì tạo ví dụ nhỏ nhất có thể chạy được.</x:v>
      </x:c>
      <x:c r="L129" s="25" t="str">
        <x:v>Chưa học</x:v>
      </x:c>
      <x:c r="M129" s="25" t="str"/>
    </x:row>
    <x:row r="130" ht="78" customHeight="1">
      <x:c r="A130" s="410" t="n">
        <x:v>38</x:v>
      </x:c>
      <x:c r="B130" s="411" t="n">
        <x:f>'02 Lộ trình 39 tuần'!G42</x:f>
        <x:v>46489</x:v>
      </x:c>
      <x:c r="C130" s="410" t="str">
        <x:v>Mock interview end-to-end</x:v>
      </x:c>
      <x:c r="D130" s="410" t="n">
        <x:v>1</x:v>
      </x:c>
      <x:c r="E130" s="410" t="str">
        <x:v>Mock Java/Spring 60 phút</x:v>
      </x:c>
      <x:c r="F130" s="410" t="str">
        <x:v>https://docs.spring.io/spring-boot/reference/using/structuring-your-code.html</x:v>
      </x:c>
      <x:c r="G130" s="410" t="str">
        <x:v>Không học nội dung mới; dùng cấu trúc/DI/config làm phạm vi ôn.</x:v>
      </x:c>
      <x:c r="H130" s="412" t="n">
        <x:v>1.5</x:v>
      </x:c>
      <x:c r="I130" s="410" t="str">
        <x:v>30 câu nhanh + live code service/test; chấm correctness, explanation, speed.</x:v>
      </x:c>
      <x:c r="J130" s="410" t="str">
        <x:v>recording + scorecard</x:v>
      </x:c>
      <x:c r="K130" s="410" t="str">
        <x:v>Đọc lại ví dụ ngay trên trang; ghi câu hỏi cụ thể vào cột Ghi chú; sau 30 phút vẫn bí thì tạo ví dụ nhỏ nhất có thể chạy được.</x:v>
      </x:c>
      <x:c r="L130" s="410" t="str">
        <x:v>Chưa học</x:v>
      </x:c>
      <x:c r="M130" s="410" t="str"/>
    </x:row>
    <x:row r="131" ht="78" customHeight="1">
      <x:c r="A131" s="410" t="n">
        <x:v>38</x:v>
      </x:c>
      <x:c r="B131" s="411" t="n">
        <x:f>'02 Lộ trình 39 tuần'!G42</x:f>
        <x:v>46489</x:v>
      </x:c>
      <x:c r="C131" s="410" t="str">
        <x:v>Mock interview end-to-end</x:v>
      </x:c>
      <x:c r="D131" s="410" t="n">
        <x:v>2</x:v>
      </x:c>
      <x:c r="E131" s="410" t="str">
        <x:v>Mock system design 60 phút</x:v>
      </x:c>
      <x:c r="F131" s="410" t="str">
        <x:v>https://github.com/donnemartin/system-design-primer</x:v>
      </x:c>
      <x:c r="G131" s="410" t="str">
        <x:v>Dùng Step-by-step guide làm trình tự.</x:v>
      </x:c>
      <x:c r="H131" s="412" t="n">
        <x:v>1.5</x:v>
      </x:c>
      <x:c r="I131" s="410" t="str">
        <x:v>Bốc thăm transfer hoặc market data; trình bày hoàn toàn bằng tiếng Anh.</x:v>
      </x:c>
      <x:c r="J131" s="410" t="str">
        <x:v>diagram + recording + scorecard</x:v>
      </x:c>
      <x:c r="K131" s="410" t="str">
        <x:v>Đọc lại ví dụ ngay trên trang; ghi câu hỏi cụ thể vào cột Ghi chú; sau 30 phút vẫn bí thì tạo ví dụ nhỏ nhất có thể chạy được.</x:v>
      </x:c>
      <x:c r="L131" s="410" t="str">
        <x:v>Chưa học</x:v>
      </x:c>
      <x:c r="M131" s="410" t="str"/>
    </x:row>
    <x:row r="132" ht="78" customHeight="1">
      <x:c r="A132" s="410" t="n">
        <x:v>38</x:v>
      </x:c>
      <x:c r="B132" s="411" t="n">
        <x:f>'02 Lộ trình 39 tuần'!G42</x:f>
        <x:v>46489</x:v>
      </x:c>
      <x:c r="C132" s="410" t="str">
        <x:v>Mock interview end-to-end</x:v>
      </x:c>
      <x:c r="D132" s="410" t="n">
        <x:v>3</x:v>
      </x:c>
      <x:c r="E132" s="410" t="str">
        <x:v>Mock behavioral/project 60 phút</x:v>
      </x:c>
      <x:c r="F132" s="410" t="str">
        <x:v>https://www.amazon.jobs/content/en/how-we-hire/interviewing-at-amazon</x:v>
      </x:c>
      <x:c r="G132" s="410" t="str">
        <x:v>Dùng 6 STAR stories; không đọc script trong lúc trả lời.</x:v>
      </x:c>
      <x:c r="H132" s="412" t="n">
        <x:v>1.5</x:v>
      </x:c>
      <x:c r="I132" s="410" t="str">
        <x:v>Giới thiệu 90 giây; 4 behavioral; deep dive 1 dự án; ghi 5 điểm cần sửa.</x:v>
      </x:c>
      <x:c r="J132" s="410" t="str">
        <x:v>recording + gap list</x:v>
      </x:c>
      <x:c r="K132" s="410" t="str">
        <x:v>Đọc lại ví dụ ngay trên trang; ghi câu hỏi cụ thể vào cột Ghi chú; sau 30 phút vẫn bí thì tạo ví dụ nhỏ nhất có thể chạy được.</x:v>
      </x:c>
      <x:c r="L132" s="410" t="str">
        <x:v>Chưa học</x:v>
      </x:c>
      <x:c r="M132" s="410" t="str"/>
    </x:row>
    <x:row r="133" ht="78" customHeight="1">
      <x:c r="A133" s="25" t="n">
        <x:v>39</x:v>
      </x:c>
      <x:c r="B133" s="196" t="n">
        <x:f>'02 Lộ trình 39 tuần'!G43</x:f>
        <x:v>46496</x:v>
      </x:c>
      <x:c r="C133" s="25" t="str">
        <x:v>Đóng lộ trình và application pack</x:v>
      </x:c>
      <x:c r="D133" s="25" t="n">
        <x:v>1</x:v>
      </x:c>
      <x:c r="E133" s="25" t="str">
        <x:v>Gap audit theo job description</x:v>
      </x:c>
      <x:c r="F133" s="25" t="str">
        <x:v>https://docs.github.com/en/repositories/managing-your-repositorys-settings-and-features/customizing-your-repository/about-readmes</x:v>
      </x:c>
      <x:c r="G133" s="25" t="str">
        <x:v>Không học thêm; dùng 2 README và CV làm nguồn bằng chứng.</x:v>
      </x:c>
      <x:c r="H133" s="299" t="n">
        <x:v>1.25</x:v>
      </x:c>
      <x:c r="I133" s="25" t="str">
        <x:v>Chọn 10 JD banking/fintech và 10 JD remote; map must-have→evidence→gap.</x:v>
      </x:c>
      <x:c r="J133" s="25" t="str">
        <x:v>job-gap-matrix.xlsx</x:v>
      </x:c>
      <x:c r="K133" s="25" t="str">
        <x:v>Đọc lại ví dụ ngay trên trang; ghi câu hỏi cụ thể vào cột Ghi chú; sau 30 phút vẫn bí thì tạo ví dụ nhỏ nhất có thể chạy được.</x:v>
      </x:c>
      <x:c r="L133" s="25" t="str">
        <x:v>Chưa học</x:v>
      </x:c>
      <x:c r="M133" s="25" t="str"/>
    </x:row>
    <x:row r="134" ht="78" customHeight="1">
      <x:c r="A134" s="25" t="n">
        <x:v>39</x:v>
      </x:c>
      <x:c r="B134" s="196" t="n">
        <x:f>'02 Lộ trình 39 tuần'!G43</x:f>
        <x:v>46496</x:v>
      </x:c>
      <x:c r="C134" s="25" t="str">
        <x:v>Đóng lộ trình và application pack</x:v>
      </x:c>
      <x:c r="D134" s="25" t="n">
        <x:v>2</x:v>
      </x:c>
      <x:c r="E134" s="25" t="str">
        <x:v>Cổng sẵn sàng ứng tuyển</x:v>
      </x:c>
      <x:c r="F134" s="25" t="str">
        <x:v>https://github.com/donnemartin/system-design-primer</x:v>
      </x:c>
      <x:c r="G134" s="25" t="str">
        <x:v>Dùng Study Guide làm benchmark kỹ thuật; kết hợp checklist tuần 39.</x:v>
      </x:c>
      <x:c r="H134" s="299" t="n">
        <x:v>1.25</x:v>
      </x:c>
      <x:c r="I134" s="25" t="str">
        <x:v>Chạy lại test/build/deploy; kiểm tra demo URL, English pitch, 6 STAR, 2 mocks.</x:v>
      </x:c>
      <x:c r="J134" s="25" t="str">
        <x:v>release-readiness-checklist</x:v>
      </x:c>
      <x:c r="K134" s="25" t="str">
        <x:v>Đọc lại ví dụ ngay trên trang; ghi câu hỏi cụ thể vào cột Ghi chú; sau 30 phút vẫn bí thì tạo ví dụ nhỏ nhất có thể chạy được.</x:v>
      </x:c>
      <x:c r="L134" s="25" t="str">
        <x:v>Chưa học</x:v>
      </x:c>
      <x:c r="M134" s="25" t="str"/>
    </x:row>
    <x:row r="135" ht="78" customHeight="1">
      <x:c r="A135" s="25" t="n">
        <x:v>39</x:v>
      </x:c>
      <x:c r="B135" s="196" t="n">
        <x:f>'02 Lộ trình 39 tuần'!G43</x:f>
        <x:v>46496</x:v>
      </x:c>
      <x:c r="C135" s="25" t="str">
        <x:v>Đóng lộ trình và application pack</x:v>
      </x:c>
      <x:c r="D135" s="25" t="n">
        <x:v>3</x:v>
      </x:c>
      <x:c r="E135" s="25" t="str">
        <x:v>Kế hoạch 4 tuần ứng tuyển</x:v>
      </x:c>
      <x:c r="F135" s="25" t="str">
        <x:v>https://www.amazon.jobs/content/en/how-we-hire/interviewing-at-amazon</x:v>
      </x:c>
      <x:c r="G135" s="25" t="str">
        <x:v>Đọc lại cách chuẩn bị interview; chuyển thành lịch cá nhân.</x:v>
      </x:c>
      <x:c r="H135" s="299" t="n">
        <x:v>1.25</x:v>
      </x:c>
      <x:c r="I135" s="25" t="str">
        <x:v>Lập pipeline 5 application chất lượng/tuần, 2 networking/tuần, 2 mock/tuần; đặt mức lương mục tiêu.</x:v>
      </x:c>
      <x:c r="J135" s="25" t="str">
        <x:v>application-plan-4-weeks.md</x:v>
      </x:c>
      <x:c r="K135" s="25" t="str">
        <x:v>Đọc lại ví dụ ngay trên trang; ghi câu hỏi cụ thể vào cột Ghi chú; sau 30 phút vẫn bí thì tạo ví dụ nhỏ nhất có thể chạy được.</x:v>
      </x:c>
      <x:c r="L135" s="25" t="str">
        <x:v>Chưa học</x:v>
      </x:c>
      <x:c r="M135" s="25" t="str"/>
    </x:row>
  </x:sheetData>
  <x:mergeCells>
    <x:mergeCell ref="A1:M1"/>
    <x:mergeCell ref="A2:M2"/>
  </x:mergeCells>
  <x:conditionalFormatting sqref="L8:L135">
    <x:cfRule type="containsText" dxfId="45" priority="1" operator="containsText" text="Đã học"/>
    <x:cfRule type="containsText" dxfId="46" priority="2" operator="containsText" text="Đang học"/>
    <x:cfRule type="containsText" dxfId="47" priority="3" operator="containsText" text="Cần xem lại"/>
    <x:cfRule type="containsText" dxfId="48" priority="4" operator="containsText" text="Đã học"/>
    <x:cfRule type="containsText" dxfId="49" priority="5" operator="containsText" text="Đang học"/>
    <x:cfRule type="containsText" dxfId="50" priority="6" operator="containsText" text="Cần xem lại"/>
    <x:cfRule type="containsText" dxfId="51" priority="7" operator="containsText" text="Đã học"/>
    <x:cfRule type="containsText" dxfId="52" priority="8" operator="containsText" text="Đang học"/>
    <x:cfRule type="containsText" dxfId="53" priority="9" operator="containsText" text="Cần xem lại"/>
    <x:cfRule type="containsText" dxfId="54" priority="10" operator="containsText" text="Đã học"/>
    <x:cfRule type="containsText" dxfId="55" priority="11" operator="containsText" text="Đang học"/>
    <x:cfRule type="containsText" dxfId="56" priority="12" operator="containsText" text="Cần xem lại"/>
  </x:conditionalFormatting>
  <x:dataValidations count="1">
    <x:dataValidation type="list" sqref="L8:L135">
      <x:formula1>"Chưa học,Đang học,Đã học,Cần xem lại"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8f3868845748c4"/>
  </x:tableParts>
</x:worksheet>
</file>